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Y:\ฝ่ายจัดซื้อ\Ployjin\06Supplier\XIAMEN SUTE\SEA\326TH\CUSTOMER DOCUMENTS FOR 326TH SPARE PART\326TH-T\"/>
    </mc:Choice>
  </mc:AlternateContent>
  <xr:revisionPtr revIDLastSave="0" documentId="13_ncr:1_{1797CB10-32B5-448A-923C-E119B9131BF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INVOICE FOR USD" sheetId="4" r:id="rId1"/>
    <sheet name="INVOICE FOR CNY" sheetId="2" r:id="rId2"/>
    <sheet name="PACKING LIST" sheetId="3" r:id="rId3"/>
  </sheets>
  <definedNames>
    <definedName name="_xlnm._FilterDatabase" localSheetId="1" hidden="1">'INVOICE FOR CNY'!$A$12:$XFC$192</definedName>
    <definedName name="_xlnm._FilterDatabase" localSheetId="0" hidden="1">'INVOICE FOR USD'!$A$6:$M$192</definedName>
    <definedName name="_xlnm._FilterDatabase" localSheetId="2" hidden="1">'PACKING LIST'!$A$12:$WVH$192</definedName>
    <definedName name="_xlnm.Print_Area" localSheetId="1">'INVOICE FOR CNY'!$A$1:$M$192</definedName>
    <definedName name="_xlnm.Print_Area" localSheetId="2">'PACKING LIST'!$A$1:$N$192</definedName>
    <definedName name="_xlnm.Print_Titles" localSheetId="1">'INVOICE FOR CNY'!$1:$11</definedName>
    <definedName name="_xlnm.Print_Titles" localSheetId="0">'INVOICE FOR USD'!$1:$10</definedName>
    <definedName name="_xlnm.Print_Titles" localSheetId="2">'PACKING LIST'!$1:$11</definedName>
  </definedNames>
  <calcPr calcId="191029"/>
</workbook>
</file>

<file path=xl/calcChain.xml><?xml version="1.0" encoding="utf-8"?>
<calcChain xmlns="http://schemas.openxmlformats.org/spreadsheetml/2006/main">
  <c r="M191" i="3" l="1"/>
  <c r="L191" i="3"/>
  <c r="J191" i="3"/>
  <c r="H191" i="3"/>
  <c r="H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191" i="2" s="1"/>
  <c r="K22" i="2"/>
  <c r="K21" i="2"/>
  <c r="K20" i="2"/>
  <c r="K19" i="2"/>
  <c r="K18" i="2"/>
  <c r="K17" i="2"/>
  <c r="K16" i="2"/>
  <c r="K15" i="2"/>
  <c r="K14" i="2"/>
  <c r="K13" i="2"/>
  <c r="K12" i="2"/>
  <c r="K191" i="4"/>
  <c r="H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</calcChain>
</file>

<file path=xl/sharedStrings.xml><?xml version="1.0" encoding="utf-8"?>
<sst xmlns="http://schemas.openxmlformats.org/spreadsheetml/2006/main" count="4210" uniqueCount="889">
  <si>
    <t>ISSUER:XIAMEN SUTE CONSTRUCTION MACHINERY CO., LTD.</t>
  </si>
  <si>
    <t>INVOICE</t>
  </si>
  <si>
    <t>Add:No. 1-103, Fengshan West Road, Fengshan Community, Haicang District, Xiamen City, China</t>
  </si>
  <si>
    <t>Tel: 0086 592 6264338, Fax: 0086 592 5556820, Mob: 0086 18650178968</t>
  </si>
  <si>
    <t>TO:O.C.R. CO., LTD.</t>
  </si>
  <si>
    <t>Add2/2 Mu 7,Tambon Klongsai,Amphoe Natawi,Changwat Songkhla 90160,Thailand</t>
  </si>
  <si>
    <t>Tel:+66 74 255-897,Fax:+66 74 255898</t>
  </si>
  <si>
    <r>
      <rPr>
        <b/>
        <sz val="9"/>
        <rFont val="等线"/>
        <charset val="134"/>
      </rPr>
      <t>Marks:</t>
    </r>
    <r>
      <rPr>
        <sz val="9"/>
        <rFont val="等线"/>
        <charset val="134"/>
      </rPr>
      <t>O.C.R. CO., LTD</t>
    </r>
  </si>
  <si>
    <t>INV NO.: ST/OCR26326T1</t>
  </si>
  <si>
    <t>DATE:2026-06-30</t>
  </si>
  <si>
    <r>
      <rPr>
        <b/>
        <sz val="9"/>
        <rFont val="等线"/>
        <charset val="134"/>
      </rPr>
      <t>Ship from</t>
    </r>
    <r>
      <rPr>
        <sz val="9"/>
        <rFont val="等线"/>
        <charset val="134"/>
      </rPr>
      <t>: Xiamen China</t>
    </r>
  </si>
  <si>
    <r>
      <rPr>
        <b/>
        <sz val="9"/>
        <rFont val="等线"/>
        <charset val="134"/>
      </rPr>
      <t xml:space="preserve">To: </t>
    </r>
    <r>
      <rPr>
        <sz val="9"/>
        <rFont val="等线"/>
        <charset val="134"/>
      </rPr>
      <t>Laem Chabang Thailand</t>
    </r>
  </si>
  <si>
    <t>SL</t>
  </si>
  <si>
    <t>PO NO.</t>
  </si>
  <si>
    <t>DESCRIPTION</t>
  </si>
  <si>
    <t>QTY</t>
  </si>
  <si>
    <t>UNIT</t>
  </si>
  <si>
    <t>UNIT PRICE</t>
  </si>
  <si>
    <t>AMOUNT</t>
  </si>
  <si>
    <t>HS.code</t>
  </si>
  <si>
    <t>FIGURE NO.</t>
  </si>
  <si>
    <t>THAI NAME</t>
  </si>
  <si>
    <t>MAIN MATERIAL</t>
  </si>
  <si>
    <t>ENGLISH NAME</t>
  </si>
  <si>
    <t>PART  NO.</t>
  </si>
  <si>
    <t>OCR NO.</t>
  </si>
  <si>
    <t>USD</t>
  </si>
  <si>
    <t>TRUCK SPARE PARTS</t>
  </si>
  <si>
    <t>PRS260510032</t>
  </si>
  <si>
    <t>กล่องควบคุมABS</t>
  </si>
  <si>
    <t>เหล็ก</t>
  </si>
  <si>
    <t>ABS CONTROLLER (KEMI)</t>
  </si>
  <si>
    <t>453603771/XGA36HKFW211-30201</t>
  </si>
  <si>
    <t>XGA4253880300</t>
  </si>
  <si>
    <t>PC</t>
  </si>
  <si>
    <t>NO.1</t>
  </si>
  <si>
    <t>วาล์วรีเลย์4 ทาง</t>
  </si>
  <si>
    <t>RELAY VALVE ASSEMBLY</t>
  </si>
  <si>
    <t>453502216/NXG3527WLFW6B1-010</t>
  </si>
  <si>
    <t>XGA4250778090</t>
  </si>
  <si>
    <t>PCS</t>
  </si>
  <si>
    <t>NO.2</t>
  </si>
  <si>
    <t>ยางกันกระแทกแหนบหน้า</t>
  </si>
  <si>
    <t>ยาง</t>
  </si>
  <si>
    <t>LIMIT BLOCK - FRONT SUSPENSION</t>
  </si>
  <si>
    <t>452906875/XGA29HEFW211-01106</t>
  </si>
  <si>
    <t>XGA4250668020</t>
  </si>
  <si>
    <t>NO.3</t>
  </si>
  <si>
    <t>สกรูจับสลักโตงเตงแหนบหน้า</t>
  </si>
  <si>
    <t>SPRING PIN LOCATING BOLT</t>
  </si>
  <si>
    <t>452902661/NXG29KFW111-01054</t>
  </si>
  <si>
    <t>XGA3252980100</t>
  </si>
  <si>
    <t>NO.4</t>
  </si>
  <si>
    <t>สายสลิงล็อคก้ามเบรค(สั้น)</t>
  </si>
  <si>
    <t>WEAR ALARM JUMPER WIRE</t>
  </si>
  <si>
    <t>459306729/HD90009580001</t>
  </si>
  <si>
    <t>XGA3252802610</t>
  </si>
  <si>
    <t>NO.5</t>
  </si>
  <si>
    <t>น็อตจับข้อต่อสายลม</t>
  </si>
  <si>
    <t>INTERNAL SERRATED LOCKING WASHER</t>
  </si>
  <si>
    <t>805339139 + 453502192</t>
  </si>
  <si>
    <t>XGA3252112202</t>
  </si>
  <si>
    <t>NO.6</t>
  </si>
  <si>
    <t>ข้อต่อวาล์ว</t>
  </si>
  <si>
    <t>END TYPE CONNECTOR+SEAL WASHER</t>
  </si>
  <si>
    <t>453505137 + 805339161</t>
  </si>
  <si>
    <t>XGA3250426060</t>
  </si>
  <si>
    <t>NO.7</t>
  </si>
  <si>
    <t>ข้อต่อวาล์ว(ตรง)</t>
  </si>
  <si>
    <t>HOLLOW BOLT+CIRCLIP+SPECIAL SECTION SEAL</t>
  </si>
  <si>
    <t>453505138 + 453505139 + 453505140</t>
  </si>
  <si>
    <t>XGA3250424070</t>
  </si>
  <si>
    <t>NO.8</t>
  </si>
  <si>
    <t>ข้อต่อ(ตรง)หางไหลหม้อน้ำลมเบรค</t>
  </si>
  <si>
    <t>453505131 + 453505132 + 453505133</t>
  </si>
  <si>
    <t>XGA3250416010</t>
  </si>
  <si>
    <t>NO.9</t>
  </si>
  <si>
    <t>โช๊คอัพ</t>
  </si>
  <si>
    <t>SHOCK ABSORBER ASSEMBLY</t>
  </si>
  <si>
    <t>452906971/XGA2921YPAY132-010</t>
  </si>
  <si>
    <t>XGA3250376010</t>
  </si>
  <si>
    <t>NO.10</t>
  </si>
  <si>
    <t>ขอบบังโคลนหน้าซ้าย</t>
  </si>
  <si>
    <t>LEFT FRONT FENDER ASSEMBLY</t>
  </si>
  <si>
    <t>XGA1150990400</t>
  </si>
  <si>
    <t>NO.11</t>
  </si>
  <si>
    <t>ขอบบังโคลนหน้าขวา</t>
  </si>
  <si>
    <t>RIGHT FRONT FENDER ASSEMBLY</t>
  </si>
  <si>
    <t>XGA1150990100</t>
  </si>
  <si>
    <t>NO.12</t>
  </si>
  <si>
    <t>เซ็นเซอร์อุณหภูมิ</t>
  </si>
  <si>
    <t>OUTDOOR TEMPERATURE SENSOR</t>
  </si>
  <si>
    <t>458108684/XGA81AMSE111-030500</t>
  </si>
  <si>
    <t>XGA1150690600</t>
  </si>
  <si>
    <t>NO.13</t>
  </si>
  <si>
    <t>ชุดกระจังหน้า</t>
  </si>
  <si>
    <t>FRONT GRILLE ASSEMBLY INCLUDE FRONT LOGO ASSEMBLY</t>
  </si>
  <si>
    <t>453906704 + 455312866</t>
  </si>
  <si>
    <t>XGA1150690400</t>
  </si>
  <si>
    <t>NO.14</t>
  </si>
  <si>
    <t>แผงหน้าปัด</t>
  </si>
  <si>
    <t>FRONT PANEL ASSEMBLY</t>
  </si>
  <si>
    <t>XGA1150670200</t>
  </si>
  <si>
    <t>NO.15</t>
  </si>
  <si>
    <t>แก้มหน้าขวา</t>
  </si>
  <si>
    <t>RIGHT SIDE TRIM ASSEMBLY</t>
  </si>
  <si>
    <t>XGA1150670100</t>
  </si>
  <si>
    <t>NO.16</t>
  </si>
  <si>
    <t>ชุดลิมิตเตอร์</t>
  </si>
  <si>
    <t>LIMITER ASSEMBLY</t>
  </si>
  <si>
    <t>455019938/XGA50XEAW591-02111</t>
  </si>
  <si>
    <t>XGA1150550700</t>
  </si>
  <si>
    <t>NO.17</t>
  </si>
  <si>
    <t>เซ็นเซอร์แรงดันอากาศ</t>
  </si>
  <si>
    <t>AIR PRESSURE SENSOR</t>
  </si>
  <si>
    <t>453808374/38HKFW211-30010</t>
  </si>
  <si>
    <t>XGA1150457020</t>
  </si>
  <si>
    <t>NO.18</t>
  </si>
  <si>
    <t>แผงคอยล์ร้อน</t>
  </si>
  <si>
    <t>CONDENSER ASSEMBLY</t>
  </si>
  <si>
    <t>458108700/XGA81AMSE111-050100_</t>
  </si>
  <si>
    <t>XGA1150439030</t>
  </si>
  <si>
    <t>NO.19</t>
  </si>
  <si>
    <t>ท่อแรงดันต่ำสามทางถึงคอยล์เย็น</t>
  </si>
  <si>
    <t>LOW PRESSURE PIPE - T-JUNCTION TO EVAPORATOR SECTION</t>
  </si>
  <si>
    <t>XGA1150431140</t>
  </si>
  <si>
    <t>NO.20</t>
  </si>
  <si>
    <t>สายจากคอนโทรลมือเข้าวาล์วแรงดัน</t>
  </si>
  <si>
    <t>HIGH-PRESSURE PIPE – VALVE STEAM SECTION</t>
  </si>
  <si>
    <t>XGA1150431100</t>
  </si>
  <si>
    <t>NO.21</t>
  </si>
  <si>
    <t>ท่อแรงดันสูงวาล์วความเย็น</t>
  </si>
  <si>
    <t>HIGH PRESSURE PIPE - COOLING VALVE SECTION</t>
  </si>
  <si>
    <t>XGA1150431090</t>
  </si>
  <si>
    <t>NO.22</t>
  </si>
  <si>
    <t>ช่องเสียบ USB</t>
  </si>
  <si>
    <t>USB INTERFACE</t>
  </si>
  <si>
    <t>453717729/XGA37AMSN111-260200</t>
  </si>
  <si>
    <t>XGA1150411030</t>
  </si>
  <si>
    <t>NO.23</t>
  </si>
  <si>
    <t>ช่องจ่ายไฟ</t>
  </si>
  <si>
    <t>24V POWER OUTLET</t>
  </si>
  <si>
    <t>453717739/XGA37AMSN111-260400</t>
  </si>
  <si>
    <t>XGA1150411020</t>
  </si>
  <si>
    <t>NO.24</t>
  </si>
  <si>
    <t>ชุดสวิทซ์เปิด-ปิดกระจก</t>
  </si>
  <si>
    <t>ELECTRIC WINDOW MAIN SWITCH</t>
  </si>
  <si>
    <t>453719236/XGA37AKSE111-460100</t>
  </si>
  <si>
    <t>XGA1150399010</t>
  </si>
  <si>
    <t>NO.25</t>
  </si>
  <si>
    <t>สวิทช์เกียร์</t>
  </si>
  <si>
    <t>INTER-WHEEL DIFFERENTIAL LOCK SWITCH</t>
  </si>
  <si>
    <t>459357670/XGA37AKSE111-920190</t>
  </si>
  <si>
    <t>XGA1150387090</t>
  </si>
  <si>
    <t>NO.26</t>
  </si>
  <si>
    <t>สวิทซ์เปิด-ปิดสัญญาณ</t>
  </si>
  <si>
    <t>LOW SPEED ALARM OFF SWITCH</t>
  </si>
  <si>
    <t>459355728/ XGA37AKSE321-920210</t>
  </si>
  <si>
    <t>XGA1150387080</t>
  </si>
  <si>
    <t>NO.27</t>
  </si>
  <si>
    <t>ข้อต่อไฮดรอลิค</t>
  </si>
  <si>
    <t>COMPRESSION FITTING PARTITIONED RIGHT ANGLE CONNECTOR BODY</t>
  </si>
  <si>
    <t>819958812/Q81412</t>
  </si>
  <si>
    <t>XGA1150357010</t>
  </si>
  <si>
    <t>NO.28</t>
  </si>
  <si>
    <t>ท่อกรองอากาศปั้มลมเข้าปั้มลม</t>
  </si>
  <si>
    <t>HIGH-TEMPERATURE RESISTANT PIPE ASSEMBLY</t>
  </si>
  <si>
    <t>XGA1150351010</t>
  </si>
  <si>
    <t>NO.29</t>
  </si>
  <si>
    <t>ชุดกรองอากาศ</t>
  </si>
  <si>
    <t>AIR FILTER</t>
  </si>
  <si>
    <t>453533107/XGA35EWZF418-09220</t>
  </si>
  <si>
    <t>XGA1150341020</t>
  </si>
  <si>
    <t>NO.30</t>
  </si>
  <si>
    <t>ถังลม</t>
  </si>
  <si>
    <t>AIR STORAGE ASSEMBLY</t>
  </si>
  <si>
    <t>453521628/XGA3513DFH131-010</t>
  </si>
  <si>
    <t>XGA1150337040</t>
  </si>
  <si>
    <t>NO.31</t>
  </si>
  <si>
    <t>453522787/XGA3513WJLY121-030</t>
  </si>
  <si>
    <t>XGA1150335040</t>
  </si>
  <si>
    <t>NO.32</t>
  </si>
  <si>
    <t>น็อตจับข้อต่อ</t>
  </si>
  <si>
    <t>GRAND NUT</t>
  </si>
  <si>
    <t>453502323/NCL35SRC-06026</t>
  </si>
  <si>
    <t>XGA1150327170</t>
  </si>
  <si>
    <t>NO.33</t>
  </si>
  <si>
    <t>ข้อต่องอ 90 องศา</t>
  </si>
  <si>
    <t>PARTITION TYPE PIPE ELBOW FITTINGS</t>
  </si>
  <si>
    <t>453502458/NCL35DM-06304</t>
  </si>
  <si>
    <t>XGA1150327110</t>
  </si>
  <si>
    <t>NO.34</t>
  </si>
  <si>
    <t>สายไฮดรอลิค</t>
  </si>
  <si>
    <t>HOSE ASSEMBLY</t>
  </si>
  <si>
    <t>453507231/Q-22-500W</t>
  </si>
  <si>
    <t>XGA1150327100</t>
  </si>
  <si>
    <t>NO.35</t>
  </si>
  <si>
    <t>วาล์วไล่ลมเร็ว</t>
  </si>
  <si>
    <t>QUICK RELEASE VALVE</t>
  </si>
  <si>
    <t>453524964/3533DFW817-010</t>
  </si>
  <si>
    <t>XGA1150327080</t>
  </si>
  <si>
    <t>NO.36</t>
  </si>
  <si>
    <t>ข้อต่อตรง</t>
  </si>
  <si>
    <t>JOINT</t>
  </si>
  <si>
    <t>453502744/NXG35PAW421-06638</t>
  </si>
  <si>
    <t>XGA1150327060</t>
  </si>
  <si>
    <t>NO.37</t>
  </si>
  <si>
    <t>สายเบรคจากหม้อลมเข้าวาล์วเท้าเหยียบเบรค</t>
  </si>
  <si>
    <t>CHASSIS BRAKE NYLON TUBE ASSEMBLY</t>
  </si>
  <si>
    <t>XGA1150319040</t>
  </si>
  <si>
    <t>NO.38</t>
  </si>
  <si>
    <t>ชุดโซลินอยวาล์ว 2ทาง</t>
  </si>
  <si>
    <t>DUAL SOLENOID VALVE ASSEMBLY</t>
  </si>
  <si>
    <t>XGA1150305020</t>
  </si>
  <si>
    <t>NO.39</t>
  </si>
  <si>
    <t>สวิทซ์เบรคมือ</t>
  </si>
  <si>
    <t>PARKING PRESSURE SWITCH</t>
  </si>
  <si>
    <t>453810024/XGA38AMSN111-800300</t>
  </si>
  <si>
    <t>XGA1150297020</t>
  </si>
  <si>
    <t>NO.40</t>
  </si>
  <si>
    <t>DRYING MACHINE PRESSURE SWITCH</t>
  </si>
  <si>
    <t>453810330/XGA38AMSH111-800310</t>
  </si>
  <si>
    <t>XGA1150297010</t>
  </si>
  <si>
    <t>NO.41</t>
  </si>
  <si>
    <t>เพลาข้าง</t>
  </si>
  <si>
    <t>HALF SHAFT</t>
  </si>
  <si>
    <t>459349480/HD90009340693</t>
  </si>
  <si>
    <t>XGA1150281520</t>
  </si>
  <si>
    <t>NO.42</t>
  </si>
  <si>
    <t>มอเตอร์ปัดน้ำฝน</t>
  </si>
  <si>
    <t>WIPE MOTOR ASSEMBLY</t>
  </si>
  <si>
    <t>453719169/L9822010040-YZ</t>
  </si>
  <si>
    <t>XGA1150270400</t>
  </si>
  <si>
    <t>NO.43</t>
  </si>
  <si>
    <t>ก้านปัดน้ำฝนซ้าย</t>
  </si>
  <si>
    <t>LEFT WIPER ARM</t>
  </si>
  <si>
    <t>455201966/ L9822010010-YZ</t>
  </si>
  <si>
    <t>XGA1150270300</t>
  </si>
  <si>
    <t>NO.44</t>
  </si>
  <si>
    <t>ก้านปัดน้ำฝนขวา</t>
  </si>
  <si>
    <t>RIGHT WIPER ARM</t>
  </si>
  <si>
    <t>455201968/L9822010020-YZ</t>
  </si>
  <si>
    <t>XGA1150270200</t>
  </si>
  <si>
    <t>NO.45</t>
  </si>
  <si>
    <t>ใบปัดน้ำฝนหน้า</t>
  </si>
  <si>
    <t>WIPER LINKAGE ASSEMBLY</t>
  </si>
  <si>
    <t>455201963/L9822010030-YZ</t>
  </si>
  <si>
    <t>XGA1150270100</t>
  </si>
  <si>
    <t>NO.46</t>
  </si>
  <si>
    <t>สาแหรกแหนบหลัง</t>
  </si>
  <si>
    <t>U-BOLT - REAR SUSPENSION</t>
  </si>
  <si>
    <t>452910273/XGA29EXEA591-20481</t>
  </si>
  <si>
    <t>XGA1150257080</t>
  </si>
  <si>
    <t>NO.47</t>
  </si>
  <si>
    <t>แผ่นรองขาจับชุดแหนบหลัง</t>
  </si>
  <si>
    <t>EXEA592 REAR SPRING PAD</t>
  </si>
  <si>
    <t>XGA1150257050</t>
  </si>
  <si>
    <t>NO.48</t>
  </si>
  <si>
    <t>ยางกันกระแทกแหนบหลัง</t>
  </si>
  <si>
    <t>SPACER BLOCK - REAR SUSPENSION</t>
  </si>
  <si>
    <t>452904276/NXG29NMAY361-02123</t>
  </si>
  <si>
    <t>XGA1150257030</t>
  </si>
  <si>
    <t>NO.49</t>
  </si>
  <si>
    <t>บู้ชหูแหนบ</t>
  </si>
  <si>
    <t>POSITIONING PIN SLEEVE</t>
  </si>
  <si>
    <t>452901804/NCL29DUH-02123</t>
  </si>
  <si>
    <t>XGA1150257020</t>
  </si>
  <si>
    <t>NO.50</t>
  </si>
  <si>
    <t>ซองแหนบ</t>
  </si>
  <si>
    <t>LUG END BRACKET ASSEMBLY - REAR SUSPENSION</t>
  </si>
  <si>
    <t>452908492/XGA29XSAY571-50630</t>
  </si>
  <si>
    <t>XGA1150253100</t>
  </si>
  <si>
    <t>NO.51</t>
  </si>
  <si>
    <t>โตงเตงแหนบ</t>
  </si>
  <si>
    <t>LIFTING EYE</t>
  </si>
  <si>
    <t>452908488/XGA29XSAY571-50691</t>
  </si>
  <si>
    <t>XGA1150253090</t>
  </si>
  <si>
    <t>NO.52</t>
  </si>
  <si>
    <t>กระจกหน้า</t>
  </si>
  <si>
    <t>กระจก</t>
  </si>
  <si>
    <t>A MICROWAVE WINDSHIELD (1995)</t>
  </si>
  <si>
    <t>459349582/L9510010001-A</t>
  </si>
  <si>
    <t>XGA1150250200</t>
  </si>
  <si>
    <t>NO.53</t>
  </si>
  <si>
    <t>ยางขอบกระจกหน้า</t>
  </si>
  <si>
    <t>WINDSHIELD WEATHERSTRIPPING</t>
  </si>
  <si>
    <t>455201967/L9510020001</t>
  </si>
  <si>
    <t>XGA1150250100</t>
  </si>
  <si>
    <t>NO.54</t>
  </si>
  <si>
    <t>ขาจับโตงเตงหูแหนบหน้า</t>
  </si>
  <si>
    <t>LUG END BRACKET</t>
  </si>
  <si>
    <t>XGA1150247190</t>
  </si>
  <si>
    <t>NO.55</t>
  </si>
  <si>
    <t>โตงเตงหูแหนบหน้าพร้อมบู้ช</t>
  </si>
  <si>
    <t>LIFTING LUG WITH BUSHING ASSEMBLY</t>
  </si>
  <si>
    <t>452908574/XGA29YPLW6F1-01285</t>
  </si>
  <si>
    <t>XGA1150247170</t>
  </si>
  <si>
    <t>NO.56</t>
  </si>
  <si>
    <t>แหวนรองสลัก</t>
  </si>
  <si>
    <t>PAD</t>
  </si>
  <si>
    <t>452908566/XGA29YPLW6F1-01253</t>
  </si>
  <si>
    <t>XGA1150247160</t>
  </si>
  <si>
    <t>NO.57</t>
  </si>
  <si>
    <t>สลักหูแหนบ</t>
  </si>
  <si>
    <t>LEAF SPRING PIN - FOR HANGER LUG</t>
  </si>
  <si>
    <t>452908523/XGA29XSAY571-40161</t>
  </si>
  <si>
    <t>XGA1150247150</t>
  </si>
  <si>
    <t>NO.58</t>
  </si>
  <si>
    <t>โตงเตงหูแหนบ</t>
  </si>
  <si>
    <t>BRACKET - SUSPENSION</t>
  </si>
  <si>
    <t>XGA1150247040</t>
  </si>
  <si>
    <t>NO.59</t>
  </si>
  <si>
    <t>STEEL PLATE SPRING PIN - FIXED END</t>
  </si>
  <si>
    <t>452908519/XGA29XSAY571-40151</t>
  </si>
  <si>
    <t>XGA1150247030</t>
  </si>
  <si>
    <t>NO.60</t>
  </si>
  <si>
    <t>ชุดสกรูจับโตงเตงหูแหนบ</t>
  </si>
  <si>
    <t>SPRING PIN POSITIONING BOLT-FRONT SUSPENSION + RONDELLA 12 + 1 TYPE HEXAGON NUTS</t>
  </si>
  <si>
    <t>452901713 + 860123356 + 805239591</t>
  </si>
  <si>
    <t>XGA1150247010</t>
  </si>
  <si>
    <t>NO.61</t>
  </si>
  <si>
    <t>สาแหรกแหนบหน้า</t>
  </si>
  <si>
    <t>U-BOLT - FRONT SUSPENSION</t>
  </si>
  <si>
    <t>452911771/TUXLS00018180</t>
  </si>
  <si>
    <t>XGA1150241060</t>
  </si>
  <si>
    <t>NO.62</t>
  </si>
  <si>
    <t>แผงควบคุม</t>
  </si>
  <si>
    <t>AUXILIARY DRIVE CONTROL BOARD</t>
  </si>
  <si>
    <t>459348030/2027535</t>
  </si>
  <si>
    <t>XGA1150235200</t>
  </si>
  <si>
    <t>NO.63</t>
  </si>
  <si>
    <t>ฟิวส์ชุดบนขนาดใหญ่</t>
  </si>
  <si>
    <t>MAIN UPPER STRUCTURE FUSE</t>
  </si>
  <si>
    <t>459348028/28030439</t>
  </si>
  <si>
    <t>XGA1150235180</t>
  </si>
  <si>
    <t>NO.64</t>
  </si>
  <si>
    <t>ตัวต้านทานบัฟเฟอร์ชุดบน</t>
  </si>
  <si>
    <t>UPPER STRUCTURE BUFFER RESISTOR</t>
  </si>
  <si>
    <t>459348027/4030026</t>
  </si>
  <si>
    <t>XGA1150235170</t>
  </si>
  <si>
    <t>NO.65</t>
  </si>
  <si>
    <t>ตัวต้านทานบัฟเฟอร์ TM</t>
  </si>
  <si>
    <t>TM BUFFER RESISTOR</t>
  </si>
  <si>
    <t>459348026/4030025</t>
  </si>
  <si>
    <t>XGA1150235160</t>
  </si>
  <si>
    <t>NO.66</t>
  </si>
  <si>
    <t>ฟิวส์ไล่ฝ้าไฟฟ้า</t>
  </si>
  <si>
    <t>ELECTRIC DEFROST FUSE</t>
  </si>
  <si>
    <t>459348025/28030501</t>
  </si>
  <si>
    <t>XGA1150235150</t>
  </si>
  <si>
    <t>NO.67</t>
  </si>
  <si>
    <t>ฟิวส์แอร์ไฟฟ้า</t>
  </si>
  <si>
    <t>ELECTRIC AIR CONDITIONING FUSE</t>
  </si>
  <si>
    <t>459348024/28030302</t>
  </si>
  <si>
    <t>XGA1150235140</t>
  </si>
  <si>
    <t>NO.68</t>
  </si>
  <si>
    <t>ฟิวส์ DCDC</t>
  </si>
  <si>
    <t>DC-DC FUSE</t>
  </si>
  <si>
    <t>459348023/28030406</t>
  </si>
  <si>
    <t>XGA1150235130</t>
  </si>
  <si>
    <t>NO.69</t>
  </si>
  <si>
    <t>ฟิวส์ ACM</t>
  </si>
  <si>
    <t>ACM FUSE</t>
  </si>
  <si>
    <t>459348022/28030356</t>
  </si>
  <si>
    <t>XGA1150235120</t>
  </si>
  <si>
    <t>NO.70</t>
  </si>
  <si>
    <t>คอนแทคเตอร์ฮีตเตอร์ไฟฟ้า</t>
  </si>
  <si>
    <t>ELECTRIC HEATING CONTACTOR</t>
  </si>
  <si>
    <t>459348021/12020253</t>
  </si>
  <si>
    <t>XGA1150235110</t>
  </si>
  <si>
    <t>NO.71</t>
  </si>
  <si>
    <t>คอนแทคเตอร์ขับเสริม</t>
  </si>
  <si>
    <t>AUXILIARY DRIVE CONTACTOR</t>
  </si>
  <si>
    <t>459348020/12020165</t>
  </si>
  <si>
    <t>XGA1150235100</t>
  </si>
  <si>
    <t>NO.72</t>
  </si>
  <si>
    <t>คอนแทคเตอร์แอร์ไฟฟ้า</t>
  </si>
  <si>
    <t>ELECTRIC AIR CONDITIONING CONTACTOR</t>
  </si>
  <si>
    <t>459348019/12020164</t>
  </si>
  <si>
    <t>XGA1150235090</t>
  </si>
  <si>
    <t>NO.73</t>
  </si>
  <si>
    <t>แผงควบคุม PDU</t>
  </si>
  <si>
    <t>PDU CONTROL BOARD</t>
  </si>
  <si>
    <t>459348018/2027531</t>
  </si>
  <si>
    <t>XGA1150235080</t>
  </si>
  <si>
    <t>NO.74</t>
  </si>
  <si>
    <t>คอนแทคเตอร์หลัก</t>
  </si>
  <si>
    <t>MAIN CONTACTOR</t>
  </si>
  <si>
    <t>459348017/12020223</t>
  </si>
  <si>
    <t>XGA1150235070</t>
  </si>
  <si>
    <t>NO.75</t>
  </si>
  <si>
    <t>แผงควบคุม TM</t>
  </si>
  <si>
    <t>TM CONTROL BOARD</t>
  </si>
  <si>
    <t>459348016/2027530</t>
  </si>
  <si>
    <t>XGA1150235060</t>
  </si>
  <si>
    <t>NO.76</t>
  </si>
  <si>
    <t>คอนแทคเตอร์ชุดบน</t>
  </si>
  <si>
    <t>UPPER STRUCTURE CONTACTOR</t>
  </si>
  <si>
    <t>459348015/12020371</t>
  </si>
  <si>
    <t>XGA1150235050</t>
  </si>
  <si>
    <t>NO.77</t>
  </si>
  <si>
    <t>แผงคาปาซิเตอร์มาตรฐานความปลอดภัย</t>
  </si>
  <si>
    <t>SAFETY CAPACITOR BOARD</t>
  </si>
  <si>
    <t>459348013/2027293</t>
  </si>
  <si>
    <t>XGA1150235030</t>
  </si>
  <si>
    <t>NO.78</t>
  </si>
  <si>
    <t>แผงอินเทอร์เฟซ</t>
  </si>
  <si>
    <t>48-PIN INTERFACE BOARD</t>
  </si>
  <si>
    <t>459348012/2027277</t>
  </si>
  <si>
    <t>XGA1150235020</t>
  </si>
  <si>
    <t>NO.79</t>
  </si>
  <si>
    <t>แผงคาปาซิเตอร์กรองสัญญาณ</t>
  </si>
  <si>
    <t>FILTER CAPACITOR BOARD</t>
  </si>
  <si>
    <t>459348011/2025112</t>
  </si>
  <si>
    <t>XGA1150235010</t>
  </si>
  <si>
    <t>NO.80</t>
  </si>
  <si>
    <t>พัดลมระบายความร้อนหม้อน้ำ</t>
  </si>
  <si>
    <t>ELECTRONIC FAN</t>
  </si>
  <si>
    <t>XGA1150187010</t>
  </si>
  <si>
    <t>NO.81</t>
  </si>
  <si>
    <t>ชุดหม้อน้ำพร้อมพัดลม</t>
  </si>
  <si>
    <t>COOLING MODULE ASSEMBLY</t>
  </si>
  <si>
    <t>XGA1150185010</t>
  </si>
  <si>
    <t>NO.82</t>
  </si>
  <si>
    <t>ท่อน้ำออกควบคุมไฟฟ้า</t>
  </si>
  <si>
    <t>ELECTRICALLY CONTROLLED WATER OUTLET HOSE</t>
  </si>
  <si>
    <t>4513004563/XGA13AKLE761R-030340</t>
  </si>
  <si>
    <t>XGA1150179310</t>
  </si>
  <si>
    <t>NO.83</t>
  </si>
  <si>
    <t>ท่อยางน้ำออกควบคุมไฟฟ้า</t>
  </si>
  <si>
    <t>4513004554/XGA13AKLE761R-030260</t>
  </si>
  <si>
    <t>XGA1150179280</t>
  </si>
  <si>
    <t>NO.84</t>
  </si>
  <si>
    <t>ท่อยางไล่อากาศ</t>
  </si>
  <si>
    <t>DEAERATOR HOSE</t>
  </si>
  <si>
    <t>4513004557/XGA13AKLE761R-030230</t>
  </si>
  <si>
    <t>XGA1150179220</t>
  </si>
  <si>
    <t>NO.85</t>
  </si>
  <si>
    <t>ท่อยางน้ำกลับล่าง</t>
  </si>
  <si>
    <t>LOWER RETURN HOSE</t>
  </si>
  <si>
    <t>4513004556/XGA13AKLE761R-030240</t>
  </si>
  <si>
    <t>XGA1150179210</t>
  </si>
  <si>
    <t>NO.86</t>
  </si>
  <si>
    <t>แป๊บน้ำ</t>
  </si>
  <si>
    <t>RETURN WATER STEEL PIPE</t>
  </si>
  <si>
    <t>4513004553/XGA13AKLE761R-030270</t>
  </si>
  <si>
    <t>XGA1150179150</t>
  </si>
  <si>
    <t>NO.87</t>
  </si>
  <si>
    <t>ท่อน้ำจากปั๊มน้ำไปชุดขับเคลื่อน</t>
  </si>
  <si>
    <t>RADIATOR - WATER PUMP TO DRIVE SYSTEM SECTION</t>
  </si>
  <si>
    <t>4513004562/XGA13AKLE761R-030180</t>
  </si>
  <si>
    <t>XGA1150179140</t>
  </si>
  <si>
    <t>NO.88</t>
  </si>
  <si>
    <t>ท่อยางไล่อากาศหน้า</t>
  </si>
  <si>
    <t>FRONT DEAERATOR HOSE</t>
  </si>
  <si>
    <t>4513004558/XGA13AKLE761R-030220</t>
  </si>
  <si>
    <t>XGA1150179130</t>
  </si>
  <si>
    <t>NO.89</t>
  </si>
  <si>
    <t>ท่อยางน้ำกลับหน้า</t>
  </si>
  <si>
    <t>FRONT RETURN HOSE</t>
  </si>
  <si>
    <t>4513004561/XGA13AKLE761R-030190</t>
  </si>
  <si>
    <t>XGA1150179120</t>
  </si>
  <si>
    <t>NO.90</t>
  </si>
  <si>
    <t>ท่อต่อตรง</t>
  </si>
  <si>
    <t>VARIABLE DIAMETER STRAIGHT HOSE -25-38</t>
  </si>
  <si>
    <t>452108040/XGA21EXLL591-27433</t>
  </si>
  <si>
    <t>XGA1150179110</t>
  </si>
  <si>
    <t>NO.91</t>
  </si>
  <si>
    <t>ข้อต่อ 3 ทาง</t>
  </si>
  <si>
    <t>T-JOINT</t>
  </si>
  <si>
    <t>452100553/XGA21WJLA211-27036</t>
  </si>
  <si>
    <t>XGA1150179090</t>
  </si>
  <si>
    <t>NO.92</t>
  </si>
  <si>
    <t>ท่อน้ำกลับไปหม้อน้ำ</t>
  </si>
  <si>
    <t>RETURN HOSE - TO RADIATOR SECTION</t>
  </si>
  <si>
    <t>4513004559/XGA13AKLE761R-030210</t>
  </si>
  <si>
    <t>XGA1150179070</t>
  </si>
  <si>
    <t>NO.93</t>
  </si>
  <si>
    <t>ท่อน้ำออกหม้อน้ำไปปั๊มน้ำ</t>
  </si>
  <si>
    <t>RADIATOR - OUTLET HOSE TO WATER PUMP</t>
  </si>
  <si>
    <t>4513004560/XGA13AKLE761R-030200</t>
  </si>
  <si>
    <t>XGA1150179060</t>
  </si>
  <si>
    <t>NO.94</t>
  </si>
  <si>
    <t>ท่อยางน้ำเข้าควบคุมไฟฟ้า</t>
  </si>
  <si>
    <t>ELECTRICALLY CONTROLLED WATER INLET HOSE</t>
  </si>
  <si>
    <t>4513004555/XGA13AKLE761R-030250</t>
  </si>
  <si>
    <t>XGA1150179050</t>
  </si>
  <si>
    <t>NO.95</t>
  </si>
  <si>
    <t>ท่อเหล็กน้ำกลับ – ช่องออกแบบรวมหลายทาง</t>
  </si>
  <si>
    <t>RETURN HOSE - MULTI-PORT OUTLET</t>
  </si>
  <si>
    <t>4513004565/XGA13AKLE761R-030280</t>
  </si>
  <si>
    <t>XGA1150179020</t>
  </si>
  <si>
    <t>NO.96</t>
  </si>
  <si>
    <t>ท่อน้ำออกมอเตอร์</t>
  </si>
  <si>
    <t>MOTOR WATER OUTLET HOSE</t>
  </si>
  <si>
    <t>4513004564/XGA13AKLE761R-030350</t>
  </si>
  <si>
    <t>XGA1150179010</t>
  </si>
  <si>
    <t>NO.97</t>
  </si>
  <si>
    <t>ชุดล็อคประตู</t>
  </si>
  <si>
    <t>CAB LOCKING CONTROL MECHANISM</t>
  </si>
  <si>
    <t>455019935/XGA50XEAW591-04114</t>
  </si>
  <si>
    <t>XGA1150150800</t>
  </si>
  <si>
    <t>NO.98</t>
  </si>
  <si>
    <t>ตัวล็อคประตูขวา</t>
  </si>
  <si>
    <t>RIGHT CAB LOCK LATCH</t>
  </si>
  <si>
    <t>455019941/XGA50XEAW591-04112</t>
  </si>
  <si>
    <t>XGA1150150500</t>
  </si>
  <si>
    <t>NO.99</t>
  </si>
  <si>
    <t>สายล็อคประตู</t>
  </si>
  <si>
    <t>LOCKING TIE ROD</t>
  </si>
  <si>
    <t>455019944/XGA50XEAW591-04113</t>
  </si>
  <si>
    <t>XGA1150150400</t>
  </si>
  <si>
    <t>NO.100</t>
  </si>
  <si>
    <t>ตัวล็อคประตูซ้าย</t>
  </si>
  <si>
    <t>LEFT CAB LATCH</t>
  </si>
  <si>
    <t>455019934/XGA50XEAW591-04111</t>
  </si>
  <si>
    <t>XGA1150150100</t>
  </si>
  <si>
    <t>NO.101</t>
  </si>
  <si>
    <t>ลูกปืนสลักคอม้า</t>
  </si>
  <si>
    <t>THRUST TAPERED ROLLER BEARING</t>
  </si>
  <si>
    <t>459339600/129908E</t>
  </si>
  <si>
    <t>XGA1150137200</t>
  </si>
  <si>
    <t>NO.102</t>
  </si>
  <si>
    <t>ขากระปุกพวงมาลัย</t>
  </si>
  <si>
    <t>STEERING ARM</t>
  </si>
  <si>
    <t>453410252/XGA34XEAS191R-10116</t>
  </si>
  <si>
    <t>XGA1150133020</t>
  </si>
  <si>
    <t>NO.103</t>
  </si>
  <si>
    <t>กระปุกพวงมาลัยพาวเวอร์</t>
  </si>
  <si>
    <t>POWER STEERING ASSEMBLY</t>
  </si>
  <si>
    <t>453410248/XGA34XEAS191R-10120</t>
  </si>
  <si>
    <t>XGA1150133010</t>
  </si>
  <si>
    <t>NO.104</t>
  </si>
  <si>
    <t>พวงมาลัย</t>
  </si>
  <si>
    <t>MULTI-FUNCTION STEERING WHEEL ASSEMBLY</t>
  </si>
  <si>
    <t>XGA1150127040</t>
  </si>
  <si>
    <t>NO.105</t>
  </si>
  <si>
    <t>กะทะล้อ</t>
  </si>
  <si>
    <t>STEEL RING ASSEMBLY</t>
  </si>
  <si>
    <t>453103764/XGA31EXEA591-00125 7.00T-20</t>
  </si>
  <si>
    <t>XGA1150121020</t>
  </si>
  <si>
    <t>NO.106</t>
  </si>
  <si>
    <t>บังโคลนล้อหลังหน้าซ้าย</t>
  </si>
  <si>
    <t>LEFT FRONT REAR MUDGUARD ASSEMBLY</t>
  </si>
  <si>
    <t>XGA1150111020</t>
  </si>
  <si>
    <t>NO.107</t>
  </si>
  <si>
    <t>บังโคลนล้อหลังหน้าขวา</t>
  </si>
  <si>
    <t>RIGHT FRONT REAR MUDGUARD ASSEMBLY</t>
  </si>
  <si>
    <t>XGA1150111010</t>
  </si>
  <si>
    <t>NO.108</t>
  </si>
  <si>
    <t>บังโคลนหน้าซ้าย</t>
  </si>
  <si>
    <t>LEFT FRONT MUDGUARD</t>
  </si>
  <si>
    <t>XGA1150109040</t>
  </si>
  <si>
    <t>NO.109</t>
  </si>
  <si>
    <t>บังโคลนซ้ายแบบยาว</t>
  </si>
  <si>
    <t>LEFT LONGITUDINAL MUDGUARD</t>
  </si>
  <si>
    <t>XGA1150109030</t>
  </si>
  <si>
    <t>NO.110</t>
  </si>
  <si>
    <t>บังโคลนขวาแบบยาว</t>
  </si>
  <si>
    <t>RIGHT LONGITUDINAL MUDGUARD</t>
  </si>
  <si>
    <t>XGA1150109020</t>
  </si>
  <si>
    <t>NO.111</t>
  </si>
  <si>
    <t>บังโคลนหน้าขวา</t>
  </si>
  <si>
    <t>RIGHT FRONT MUDGUARD</t>
  </si>
  <si>
    <t>XGA1150109010</t>
  </si>
  <si>
    <t>NO.112</t>
  </si>
  <si>
    <t>แผงตัวถังด้านบนขวา (ขนาดเล็ก)</t>
  </si>
  <si>
    <t>UPPER SKIN RIGHT (SMALL)</t>
  </si>
  <si>
    <t>XGA115000068R</t>
  </si>
  <si>
    <t>NO.113</t>
  </si>
  <si>
    <t>แผงตัวถังด้านบนซ้าย (ขนาดใหญ่)</t>
  </si>
  <si>
    <t>UPPER SKIN LEFT (LARGE)</t>
  </si>
  <si>
    <t>XGA115000068L</t>
  </si>
  <si>
    <t>NO.114</t>
  </si>
  <si>
    <t>แผงตัวถังด้านขวา</t>
  </si>
  <si>
    <t>SIDE SKIN (RIGHT)</t>
  </si>
  <si>
    <t>XGA115000061R</t>
  </si>
  <si>
    <t>NO.115</t>
  </si>
  <si>
    <t>แผงตัวถังด้านซ้าย</t>
  </si>
  <si>
    <t>SIDE SKIN (LEFT)</t>
  </si>
  <si>
    <t>XGA115000061L</t>
  </si>
  <si>
    <t>NO.116</t>
  </si>
  <si>
    <t>ท่อยางน้ำออกแบตเตอรี่แพ็คขวา</t>
  </si>
  <si>
    <t>RIGHT BATTERY PACK OUTLET HOSE</t>
  </si>
  <si>
    <t>XGA115000053R</t>
  </si>
  <si>
    <t>NO.117</t>
  </si>
  <si>
    <t>ท่อยางน้ำออกแบตเตอรี่แพ็คซ้าย</t>
  </si>
  <si>
    <t>LEFT BATTERY PACK WATER OUTLET HOSE</t>
  </si>
  <si>
    <t>XGA115000053L</t>
  </si>
  <si>
    <t>NO.118</t>
  </si>
  <si>
    <t>ท่อยางน้ำเข้าแบตเตอรี่แพ็คขวา</t>
  </si>
  <si>
    <t>RIGHT BATTERY PACK INLET HOSE</t>
  </si>
  <si>
    <t>XGA115000052R</t>
  </si>
  <si>
    <t>NO.119</t>
  </si>
  <si>
    <t>ท่อยางน้ำเข้าแบตเตอรี่แพ็คซ้าย</t>
  </si>
  <si>
    <t>LEFT BATTERY PACK WATER INLET HOSE</t>
  </si>
  <si>
    <t>XGA115000052L</t>
  </si>
  <si>
    <t>NO.120</t>
  </si>
  <si>
    <t>ชุดบังโคลนหลังล้อหน้าขวา</t>
  </si>
  <si>
    <t>RIGHT FRONT WHEEL REAR FENDER ASSEMBLY</t>
  </si>
  <si>
    <t>459360433/84V66-03176-D-AKSLE761R</t>
  </si>
  <si>
    <t>XGA115000031R</t>
  </si>
  <si>
    <t>NO.121</t>
  </si>
  <si>
    <t>ชุดบังโคลนหลังล้อหน้าซ้าย</t>
  </si>
  <si>
    <t>LEFT FRONT WHEEL REAR FENDER ASSEMBLY</t>
  </si>
  <si>
    <t>459360432/84V66-03175-D-AKSLE761R</t>
  </si>
  <si>
    <t>XGA115000031L</t>
  </si>
  <si>
    <t>NO.122</t>
  </si>
  <si>
    <t>ขาตั้งเบรคขวา</t>
  </si>
  <si>
    <t>RIGHT AUTOMATIC ADJUSTING ARM</t>
  </si>
  <si>
    <t>459320323/YH104013750031-70ZT</t>
  </si>
  <si>
    <t>XGA115000021R</t>
  </si>
  <si>
    <t>NO.123</t>
  </si>
  <si>
    <t>ขาตั้งเบรคซ้าย</t>
  </si>
  <si>
    <t>LEFT AUTOMATIC ADJUSTING ARM</t>
  </si>
  <si>
    <t>459320322/YH104013740031-70ZT</t>
  </si>
  <si>
    <t>XGA115000021L</t>
  </si>
  <si>
    <t>NO.124</t>
  </si>
  <si>
    <t>กระจกประตูขวา</t>
  </si>
  <si>
    <t>RIGHT DOOR GLASS</t>
  </si>
  <si>
    <t>456108169/L9502010020</t>
  </si>
  <si>
    <t>XGA115000018R</t>
  </si>
  <si>
    <t>NO.125</t>
  </si>
  <si>
    <t>กระจกประตูซ้าย</t>
  </si>
  <si>
    <t>LEFT DOOR GLASS</t>
  </si>
  <si>
    <t>456108183/L9502010010</t>
  </si>
  <si>
    <t>XGA115000018L</t>
  </si>
  <si>
    <t>NO.126</t>
  </si>
  <si>
    <t>คันส่ง</t>
  </si>
  <si>
    <t>STEERING TIE ROD ASSEMBLY</t>
  </si>
  <si>
    <t>453410250/XGA34XEAS191R-10130</t>
  </si>
  <si>
    <t>XGA1150000080</t>
  </si>
  <si>
    <t>NO.127</t>
  </si>
  <si>
    <t>ท่อแรงดันสูงสามทางไฟฟ้า</t>
  </si>
  <si>
    <t>HIGH PRESSURE PIPE - T-JUNCTION ELECTRICAL SECTION</t>
  </si>
  <si>
    <t>XGA1150000078</t>
  </si>
  <si>
    <t>NO.128</t>
  </si>
  <si>
    <t>ท่อแรงดันสูง – ช่วงอัด-ทำความเย็น</t>
  </si>
  <si>
    <t>HIGH PRESSURE PIPE - COOLING SECTION</t>
  </si>
  <si>
    <t>XGA1150000077</t>
  </si>
  <si>
    <t>NO.129</t>
  </si>
  <si>
    <t>ท่อแรงดันต่ำ–ช่วงวาล์วอัด</t>
  </si>
  <si>
    <t>LOW PRESSURE PIPE - VALVE SECTION</t>
  </si>
  <si>
    <t>XGA1150000076</t>
  </si>
  <si>
    <t>NO.130</t>
  </si>
  <si>
    <t>ท่อแรงดันสูง–ด้านเครื่องแลกเปลี่ยนความร้อน</t>
  </si>
  <si>
    <t>HIGH-PRESSURE PIPE – HEAT EXCHANGER END</t>
  </si>
  <si>
    <t>XGA1150000075</t>
  </si>
  <si>
    <t>NO.131</t>
  </si>
  <si>
    <t>ท่อแรงดันต่ำ–ด้านเครื่องแลกเปลี่ยนความร้อน</t>
  </si>
  <si>
    <t>LOW-PRESSURE PIPE – HEAT EXCHANGER END</t>
  </si>
  <si>
    <t>XGA1150000074</t>
  </si>
  <si>
    <t>NO.132</t>
  </si>
  <si>
    <t>กล่องควบคุม</t>
  </si>
  <si>
    <t>INTEGRATED SINGLE-COOLING PLATE HEAT EXCHANGER</t>
  </si>
  <si>
    <t>XGA1150000073</t>
  </si>
  <si>
    <t>NO.133</t>
  </si>
  <si>
    <t>กล่องควบคุมแอร์</t>
  </si>
  <si>
    <t>AIR CONDITIONING BLACK BOX</t>
  </si>
  <si>
    <t>XGA1150000072</t>
  </si>
  <si>
    <t>NO.134</t>
  </si>
  <si>
    <t>คอมแอร์</t>
  </si>
  <si>
    <t>ELECTRIC COMPRESSOR ASSEMBLY (40CC)</t>
  </si>
  <si>
    <t>458108690/XGA81AMSE111-030100</t>
  </si>
  <si>
    <t>XGA1150000070</t>
  </si>
  <si>
    <t>NO.135</t>
  </si>
  <si>
    <t>ตัวควบคุมเกตเวย์</t>
  </si>
  <si>
    <t>GATEWAY CONTROLLER</t>
  </si>
  <si>
    <t>XGA1150000069</t>
  </si>
  <si>
    <t>NO.136</t>
  </si>
  <si>
    <t>แผงตัวถังด้านบน</t>
  </si>
  <si>
    <t>UPPER SKIN</t>
  </si>
  <si>
    <t>XGA1150000067</t>
  </si>
  <si>
    <t>NO.137</t>
  </si>
  <si>
    <t>แผงตัวถังด้านบนซ้าย</t>
  </si>
  <si>
    <t>UPPER SKIN (LEFT)</t>
  </si>
  <si>
    <t>XGA1150000066</t>
  </si>
  <si>
    <t>NO.138</t>
  </si>
  <si>
    <t>XGA1150000065</t>
  </si>
  <si>
    <t>NO.139</t>
  </si>
  <si>
    <t>แผงตัวถังด้านหลังซ้าย</t>
  </si>
  <si>
    <t>REAR SKIN (LEFT)</t>
  </si>
  <si>
    <t>XGA1150000064</t>
  </si>
  <si>
    <t>NO.140</t>
  </si>
  <si>
    <t>แผงหน้าปัดรวมสำหรับรถไฟฟ้าล้วน</t>
  </si>
  <si>
    <t>PURE ELECTRIC INSTRUMENT CLUSTER</t>
  </si>
  <si>
    <t>XGA1150000063</t>
  </si>
  <si>
    <t>NO.141</t>
  </si>
  <si>
    <t>แผงตัวถังด้านหน้าซ้าย</t>
  </si>
  <si>
    <t>FRONT SKIN (LEFT)</t>
  </si>
  <si>
    <t>XGA1150000062</t>
  </si>
  <si>
    <t>NO.142</t>
  </si>
  <si>
    <t>AIR HOSE ASSEMBLY - AIR COMPRESSOR TO AIR DRYER III</t>
  </si>
  <si>
    <t>XGA1150000059</t>
  </si>
  <si>
    <t>NO.143</t>
  </si>
  <si>
    <t>AIR HOSE ASSEMBLY - AIR COMPRESSOR TO AIR DRYER II</t>
  </si>
  <si>
    <t>XGA1150000058</t>
  </si>
  <si>
    <t>NO.144</t>
  </si>
  <si>
    <t>AIR HOSE ASSEMBLY - AIR COMPRESSOR TO AIR DRYER I</t>
  </si>
  <si>
    <t>XGA1150000057</t>
  </si>
  <si>
    <t>NO.145</t>
  </si>
  <si>
    <t>ท่อเหล็กเปลี่ยนทางน้ำออกมอเตอร์</t>
  </si>
  <si>
    <t>MOTOR WATER OUTLET TRANSITION STEEL PIPE</t>
  </si>
  <si>
    <t>XGA1150000056</t>
  </si>
  <si>
    <t>NO.146</t>
  </si>
  <si>
    <t>ท่อยางน้ำออกชุดควบคุมไฟฟ้า</t>
  </si>
  <si>
    <t>ELECTRICAL CONTROL WATER OUTLET HOSE</t>
  </si>
  <si>
    <t>XGA1150000055</t>
  </si>
  <si>
    <t>NO.147</t>
  </si>
  <si>
    <t>ท่อยางน้ำเข้าเซ็นเซอร์อุณหภูมิน้ำ</t>
  </si>
  <si>
    <t>WATER TEMPERATURE SENSOR INLET HOSE</t>
  </si>
  <si>
    <t>XGA1150000054</t>
  </si>
  <si>
    <t>NO.148</t>
  </si>
  <si>
    <t>ท่อเชื่อม</t>
  </si>
  <si>
    <t>CONNECTING HOSE</t>
  </si>
  <si>
    <t>XGA1150000051</t>
  </si>
  <si>
    <t>NO.149</t>
  </si>
  <si>
    <t>XGA1150000050</t>
  </si>
  <si>
    <t>NO.150</t>
  </si>
  <si>
    <t>ท่อยางจ่ายน้ำหล่อเย็นแบตเตอรี่</t>
  </si>
  <si>
    <t>BATTERY WATER SUPPLY HOSE</t>
  </si>
  <si>
    <t>XGA1150000049</t>
  </si>
  <si>
    <t>NO.151</t>
  </si>
  <si>
    <t>ท่อยางน้ำเข้าปั๊มน้ำ</t>
  </si>
  <si>
    <t>WATER PUMP INLET HOSE</t>
  </si>
  <si>
    <t>XGA1150000048</t>
  </si>
  <si>
    <t>NO.152</t>
  </si>
  <si>
    <t>ท่อเหล็กระบบหล่อเย็นแบตเตอรี่ 2</t>
  </si>
  <si>
    <t>BATTERY COOLING CONNECTION STEEL PIPE 2</t>
  </si>
  <si>
    <t>XGA1150000047</t>
  </si>
  <si>
    <t>NO.153</t>
  </si>
  <si>
    <t>ท่อเหล็กระบบหล่อเย็นแบตเตอรี่</t>
  </si>
  <si>
    <t>BATTERY COOLING CONNECTION STEEL PIPE 1</t>
  </si>
  <si>
    <t>XGA1150000046</t>
  </si>
  <si>
    <t>NO.154</t>
  </si>
  <si>
    <t>ท่อยางน้ำเข้าแบตเตอรี่ด้านหลัง</t>
  </si>
  <si>
    <t>REAR BATTERY WATER INLET HOSE</t>
  </si>
  <si>
    <t>XGA1150000045</t>
  </si>
  <si>
    <t>NO.155</t>
  </si>
  <si>
    <t>ท่อยางน้ำเข้าชิลเลอร์</t>
  </si>
  <si>
    <t>CHILLER INLET HOSE</t>
  </si>
  <si>
    <t>XGA1150000044</t>
  </si>
  <si>
    <t>NO.156</t>
  </si>
  <si>
    <t>ท่อยางน้ำออกชิลเลอร์</t>
  </si>
  <si>
    <t>CHILLER OUTLET HOSE</t>
  </si>
  <si>
    <t>XGA1150000043</t>
  </si>
  <si>
    <t>NO.157</t>
  </si>
  <si>
    <t>สายส่งน้ำปั๊มน้ำแบบควบคุมมอเตอร์ไฟฟ้า</t>
  </si>
  <si>
    <t>MOTOR/ELECTRICAL CONTROL WATER PUMP WATER SUPPLY HOSE</t>
  </si>
  <si>
    <t>XGA1150000042</t>
  </si>
  <si>
    <t>NO.158</t>
  </si>
  <si>
    <t>ท่อยางน้ำเข้าชุดควบคุมไฟฟ้า</t>
  </si>
  <si>
    <t>ELECTRICAL CONTROL WATER INLET HOSE</t>
  </si>
  <si>
    <t>4513009120/XGA13AKLEA61R-030250</t>
  </si>
  <si>
    <t>XGA1150000041</t>
  </si>
  <si>
    <t>NO.159</t>
  </si>
  <si>
    <t>ท่อน้ำออกหม้อน้ำไปยังปั๊มน้ำ</t>
  </si>
  <si>
    <t>RADIATOR - WATER OUTLET PIPE TO WATER PUMP</t>
  </si>
  <si>
    <t>4513009119/XGA13AKLEA61R-030200</t>
  </si>
  <si>
    <t>XGA1150000040</t>
  </si>
  <si>
    <t>NO.160</t>
  </si>
  <si>
    <t>ท่อน้ำเข้ามอเตอร์</t>
  </si>
  <si>
    <t>MOTOR INLET WATER PIPE</t>
  </si>
  <si>
    <t>4513009117/XGA13AKLEA61R-030340</t>
  </si>
  <si>
    <t>XGA1150000039</t>
  </si>
  <si>
    <t>NO.161</t>
  </si>
  <si>
    <t>MOTOR OUTLET WATER PIPE</t>
  </si>
  <si>
    <t>4513009116/XGA13AKLEA61R-030350</t>
  </si>
  <si>
    <t>XGA1150000038</t>
  </si>
  <si>
    <t>NO.162</t>
  </si>
  <si>
    <t>ท่อเหล็กทางออกน้ำหล่อเย็นมอเตอร์</t>
  </si>
  <si>
    <t>MOTOR OUTLET COOLING CONNECTION STEEL PIPE</t>
  </si>
  <si>
    <t>4513009115/XGA13AKLEA61R-030121</t>
  </si>
  <si>
    <t>XGA1150000037</t>
  </si>
  <si>
    <t>NO.163</t>
  </si>
  <si>
    <t>ท่อเหล็กทางเข้าน้ำหล่อเย็นมอเตอร์</t>
  </si>
  <si>
    <t>MOTOR INLET COOLING CONNECTION STEEL PIPE</t>
  </si>
  <si>
    <t>4513009114/XGA13AKLEA61R-030123</t>
  </si>
  <si>
    <t>XGA1150000036</t>
  </si>
  <si>
    <t>NO.164</t>
  </si>
  <si>
    <t>WATER TEMPERATURE SENSOR - Φ20</t>
  </si>
  <si>
    <t>4513003466/XGA13BKSE111-040500_</t>
  </si>
  <si>
    <t>XGA1150000035</t>
  </si>
  <si>
    <t>NO.165</t>
  </si>
  <si>
    <t>สวิทซ์เกียร์ PTO</t>
  </si>
  <si>
    <t>POWER TAKE-OFF SWITCH</t>
  </si>
  <si>
    <t>459501678/37T3-50110</t>
  </si>
  <si>
    <t>XGA1150000034</t>
  </si>
  <si>
    <t>NO.166</t>
  </si>
  <si>
    <t>สวิทซ์ไฟตัดหมอกหน้า</t>
  </si>
  <si>
    <t>FRONT FOG LIGHT SWITCH ASSEMBLY</t>
  </si>
  <si>
    <t>459501676/37T3-50030</t>
  </si>
  <si>
    <t>XGA1150000033</t>
  </si>
  <si>
    <t>NO.167</t>
  </si>
  <si>
    <t>ชุดสวิตช์ไฟฉุกเฉิน</t>
  </si>
  <si>
    <t>HAZARD ALARM SWITCH ASSEMBLY</t>
  </si>
  <si>
    <t>459501675/37T3-50060</t>
  </si>
  <si>
    <t>XGA1150000032</t>
  </si>
  <si>
    <t>NO.168</t>
  </si>
  <si>
    <t>ชุดสวิตช์ไฟตัดหมอกหลัง</t>
  </si>
  <si>
    <t>REAR FOG LIGHT SWITCH ASSEMBLY</t>
  </si>
  <si>
    <t>459360422/37T3-50040</t>
  </si>
  <si>
    <t>XGA1150000029</t>
  </si>
  <si>
    <t>NO.169</t>
  </si>
  <si>
    <t>สวิทซ์กุญแจ (พร้อมกุญแจ+รีโมตกุญแจ)</t>
  </si>
  <si>
    <t>IGNITION LOCK, WITH LOCK CYLINDER, COMPLETE REMOTE KEY BLADE SET</t>
  </si>
  <si>
    <t>459360415/XGLD373031120</t>
  </si>
  <si>
    <t>XGA1150000028</t>
  </si>
  <si>
    <t>NO.170</t>
  </si>
  <si>
    <t>ดุมล้อหน้า</t>
  </si>
  <si>
    <t>FRONT WHEEL HUB</t>
  </si>
  <si>
    <t>459360414/L0300060052B0-52</t>
  </si>
  <si>
    <t>XGA1150000027</t>
  </si>
  <si>
    <t>NO.171</t>
  </si>
  <si>
    <t>ลูกปืน</t>
  </si>
  <si>
    <t>TAPERED ROLLER BEARING</t>
  </si>
  <si>
    <t>459345403/GB/T297-32311AE</t>
  </si>
  <si>
    <t>XGA1150000025</t>
  </si>
  <si>
    <t>NO.172</t>
  </si>
  <si>
    <t>แหวนน้ำมัน</t>
  </si>
  <si>
    <t>OIL SEAL ASSEMBLY</t>
  </si>
  <si>
    <t>459339612/3100DEKHD-3004103</t>
  </si>
  <si>
    <t>XGA1150000024</t>
  </si>
  <si>
    <t>NO.173</t>
  </si>
  <si>
    <t>ชุดตัวล็อกประตูขวา (ระบบเซ็นทรัลล็อก 24V)</t>
  </si>
  <si>
    <t>RIGHT DOOR LOCK ASSEMBLY (24V CENTRAL LOCKING)</t>
  </si>
  <si>
    <t>459336320/L9502060200-YZ</t>
  </si>
  <si>
    <t>XGA1150000023</t>
  </si>
  <si>
    <t>NO.174</t>
  </si>
  <si>
    <t>ชุดตัวล็อกประตูซ้าย (ระบบเซ็นทรัลล็อก 24V)</t>
  </si>
  <si>
    <t>LEFT DOOR LOCK ASSEMBLY (24V CENTRAL LOCKING)</t>
  </si>
  <si>
    <t>459336319/L9502060100-YZ</t>
  </si>
  <si>
    <t>XGA1150000022</t>
  </si>
  <si>
    <t>NO.175</t>
  </si>
  <si>
    <t>OIL SEAL RING ASSEMBLY</t>
  </si>
  <si>
    <t>459303527/EQ153-3001027</t>
  </si>
  <si>
    <t>XGA1150000020</t>
  </si>
  <si>
    <t>NO.176</t>
  </si>
  <si>
    <t>แผงควบคุมแอร์</t>
  </si>
  <si>
    <t>AIR CONDITIONING CONTROL PANEL</t>
  </si>
  <si>
    <t>458108870/XGA81AKSE221-120100</t>
  </si>
  <si>
    <t>XGA1150000019</t>
  </si>
  <si>
    <t>NO.177</t>
  </si>
  <si>
    <t>ชุดเข็มขัดนิรภัยกลาง</t>
  </si>
  <si>
    <t>CENTER SEAT BELT ASSEMBLY</t>
  </si>
  <si>
    <t>455800487/L9505040030</t>
  </si>
  <si>
    <t>XGA1150000017</t>
  </si>
  <si>
    <t>NO.178</t>
  </si>
  <si>
    <t>PRS260510290</t>
  </si>
  <si>
    <t>ไดร์ชาร์จ</t>
  </si>
  <si>
    <t>ALTERNATER</t>
  </si>
  <si>
    <t>612600090248 / 453705538</t>
  </si>
  <si>
    <t>WD12000000006</t>
  </si>
  <si>
    <t>NO.179</t>
  </si>
  <si>
    <t>TOTAL(CIF LAEM  CHABANG)</t>
  </si>
  <si>
    <t>SAY CIF LAEM  CHABANG IN U.S.DOLLARS TWELVE THOUSAND SIX HUNDRED FIFTY-NINE AND THIRTY-TWO CENTS ONLY.</t>
  </si>
  <si>
    <r>
      <rPr>
        <b/>
        <sz val="9"/>
        <rFont val="等线"/>
        <charset val="134"/>
      </rPr>
      <t>INV NO.:</t>
    </r>
    <r>
      <rPr>
        <sz val="9"/>
        <rFont val="等线"/>
        <charset val="134"/>
      </rPr>
      <t xml:space="preserve"> ST/OCR26326T1</t>
    </r>
  </si>
  <si>
    <t>PR NO.</t>
  </si>
  <si>
    <t>MATERIAL</t>
  </si>
  <si>
    <t>CNY</t>
  </si>
  <si>
    <t>SAY CIF LAEM CHABANG IN RMB  EIGHTY-FIVE THOUSAND NINE HUNDRED FIFTY-SIX  AND SEVENTY-SIX CENTS ONLY.</t>
  </si>
  <si>
    <t>PACKING LIST</t>
  </si>
  <si>
    <r>
      <rPr>
        <b/>
        <sz val="9"/>
        <rFont val="Tahoma"/>
        <charset val="134"/>
        <scheme val="minor"/>
      </rPr>
      <t>Marks:</t>
    </r>
    <r>
      <rPr>
        <sz val="9"/>
        <rFont val="Tahoma"/>
        <charset val="134"/>
        <scheme val="minor"/>
      </rPr>
      <t>O.C.R. CO., LTD</t>
    </r>
  </si>
  <si>
    <r>
      <rPr>
        <b/>
        <sz val="9"/>
        <rFont val="Tahoma"/>
        <charset val="134"/>
        <scheme val="minor"/>
      </rPr>
      <t>Ship from</t>
    </r>
    <r>
      <rPr>
        <sz val="9"/>
        <rFont val="Tahoma"/>
        <charset val="134"/>
        <scheme val="minor"/>
      </rPr>
      <t>: Xiamen China</t>
    </r>
  </si>
  <si>
    <r>
      <rPr>
        <b/>
        <sz val="8"/>
        <rFont val="Tahoma"/>
        <charset val="134"/>
        <scheme val="minor"/>
      </rPr>
      <t xml:space="preserve">To: </t>
    </r>
    <r>
      <rPr>
        <sz val="8"/>
        <rFont val="Tahoma"/>
        <charset val="134"/>
        <scheme val="minor"/>
      </rPr>
      <t>Laem Chabang Thailand</t>
    </r>
  </si>
  <si>
    <t>PACKAGE</t>
  </si>
  <si>
    <t>N.W.</t>
  </si>
  <si>
    <t>G.W.</t>
  </si>
  <si>
    <t>MEAS.</t>
  </si>
  <si>
    <t>CTN. NO.</t>
  </si>
  <si>
    <t>KGS</t>
  </si>
  <si>
    <t>CBM</t>
  </si>
  <si>
    <t>001W</t>
  </si>
  <si>
    <t>006W</t>
  </si>
  <si>
    <t>089C</t>
  </si>
  <si>
    <t>090C</t>
  </si>
  <si>
    <t>254C</t>
  </si>
  <si>
    <t>086C</t>
  </si>
  <si>
    <t>088C</t>
  </si>
  <si>
    <t>094C</t>
  </si>
  <si>
    <t>253C</t>
  </si>
  <si>
    <t>093C</t>
  </si>
  <si>
    <t>092C</t>
  </si>
  <si>
    <t>091C</t>
  </si>
  <si>
    <t>001W/006W-1PC</t>
  </si>
  <si>
    <t>365C</t>
  </si>
  <si>
    <t>TOTAL PACKED IN ONE HUNDRED ELEVEN  (111) PACKAGES.</t>
  </si>
  <si>
    <t>RLAY VALVE ASSEMBLY</t>
  </si>
  <si>
    <t xml:space="preserve">805339139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</si>
</sst>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1" formatCode="[$-1070000]d/m/yy;@"/>
    <numFmt numFmtId="192" formatCode="0_ "/>
    <numFmt numFmtId="193" formatCode="0.00_ "/>
    <numFmt numFmtId="194" formatCode="0.00_);[Red]\(0.00\)"/>
  </numFmts>
  <fonts count="20">
    <font>
      <sz val="11"/>
      <color theme="1"/>
      <name val="Tahoma"/>
      <charset val="222"/>
      <scheme val="minor"/>
    </font>
    <font>
      <sz val="12"/>
      <name val="Tahoma"/>
      <charset val="134"/>
      <scheme val="minor"/>
    </font>
    <font>
      <sz val="8"/>
      <name val="等线"/>
      <charset val="134"/>
    </font>
    <font>
      <b/>
      <sz val="9"/>
      <name val="Tahoma"/>
      <charset val="134"/>
      <scheme val="minor"/>
    </font>
    <font>
      <b/>
      <sz val="8"/>
      <name val="等线"/>
      <charset val="134"/>
    </font>
    <font>
      <b/>
      <sz val="14"/>
      <name val="Tahoma"/>
      <charset val="134"/>
      <scheme val="minor"/>
    </font>
    <font>
      <sz val="9"/>
      <name val="Tahoma"/>
      <charset val="134"/>
      <scheme val="minor"/>
    </font>
    <font>
      <b/>
      <sz val="8"/>
      <name val="Tahoma"/>
      <charset val="134"/>
      <scheme val="minor"/>
    </font>
    <font>
      <b/>
      <sz val="9"/>
      <name val="等线"/>
      <charset val="134"/>
    </font>
    <font>
      <b/>
      <sz val="9"/>
      <color rgb="FF000000"/>
      <name val="等线"/>
      <charset val="134"/>
    </font>
    <font>
      <b/>
      <sz val="8"/>
      <color rgb="FF000000"/>
      <name val="等线"/>
      <charset val="134"/>
    </font>
    <font>
      <sz val="9"/>
      <name val="等线"/>
      <charset val="134"/>
    </font>
    <font>
      <b/>
      <sz val="10"/>
      <name val="Tahoma"/>
      <charset val="134"/>
      <scheme val="minor"/>
    </font>
    <font>
      <sz val="9"/>
      <color theme="1"/>
      <name val="Tahoma"/>
      <charset val="134"/>
      <scheme val="minor"/>
    </font>
    <font>
      <b/>
      <sz val="20"/>
      <name val="等线"/>
      <charset val="134"/>
    </font>
    <font>
      <sz val="11"/>
      <color theme="1"/>
      <name val="Tahoma"/>
      <charset val="134"/>
      <scheme val="minor"/>
    </font>
    <font>
      <sz val="10"/>
      <color indexed="8"/>
      <name val="Arial"/>
      <family val="2"/>
    </font>
    <font>
      <sz val="11"/>
      <color theme="1"/>
      <name val="Tahoma"/>
      <family val="2"/>
    </font>
    <font>
      <sz val="12"/>
      <name val="宋体"/>
      <charset val="134"/>
    </font>
    <font>
      <sz val="8"/>
      <name val="Tahoma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0">
    <xf numFmtId="0" fontId="0" fillId="0" borderId="0"/>
    <xf numFmtId="0" fontId="16" fillId="0" borderId="0">
      <alignment vertical="top"/>
    </xf>
    <xf numFmtId="0" fontId="15" fillId="0" borderId="0"/>
    <xf numFmtId="0" fontId="16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top"/>
    </xf>
    <xf numFmtId="0" fontId="16" fillId="0" borderId="0">
      <alignment vertical="top"/>
    </xf>
    <xf numFmtId="0" fontId="15" fillId="0" borderId="0"/>
    <xf numFmtId="0" fontId="16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>
      <alignment vertical="top"/>
    </xf>
    <xf numFmtId="0" fontId="16" fillId="0" borderId="0">
      <alignment vertical="top"/>
    </xf>
    <xf numFmtId="0" fontId="15" fillId="0" borderId="0"/>
    <xf numFmtId="0" fontId="15" fillId="0" borderId="0"/>
    <xf numFmtId="0" fontId="16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15" fillId="0" borderId="0"/>
    <xf numFmtId="0" fontId="15" fillId="0" borderId="0"/>
    <xf numFmtId="191" fontId="15" fillId="0" borderId="0"/>
    <xf numFmtId="0" fontId="16" fillId="0" borderId="0">
      <alignment vertical="top"/>
    </xf>
    <xf numFmtId="19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>
      <alignment vertical="top"/>
    </xf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top"/>
    </xf>
  </cellStyleXfs>
  <cellXfs count="191">
    <xf numFmtId="0" fontId="0" fillId="0" borderId="0" xfId="0"/>
    <xf numFmtId="0" fontId="1" fillId="2" borderId="0" xfId="153" applyFont="1" applyFill="1">
      <alignment vertical="top"/>
    </xf>
    <xf numFmtId="0" fontId="1" fillId="2" borderId="0" xfId="153" applyFont="1" applyFill="1" applyAlignment="1">
      <alignment vertical="top" wrapText="1"/>
    </xf>
    <xf numFmtId="0" fontId="1" fillId="2" borderId="0" xfId="153" applyFont="1" applyFill="1" applyAlignment="1">
      <alignment horizontal="left" vertical="top"/>
    </xf>
    <xf numFmtId="0" fontId="1" fillId="2" borderId="0" xfId="153" applyFont="1" applyFill="1" applyAlignment="1">
      <alignment horizontal="center" vertical="top"/>
    </xf>
    <xf numFmtId="0" fontId="1" fillId="2" borderId="0" xfId="153" applyFont="1" applyFill="1" applyAlignment="1">
      <alignment horizontal="center" vertical="center"/>
    </xf>
    <xf numFmtId="192" fontId="2" fillId="0" borderId="0" xfId="153" applyNumberFormat="1" applyFont="1" applyAlignment="1">
      <alignment horizontal="center" vertical="center"/>
    </xf>
    <xf numFmtId="0" fontId="1" fillId="2" borderId="0" xfId="153" applyFont="1" applyFill="1" applyAlignment="1">
      <alignment horizontal="center" vertical="center" wrapText="1"/>
    </xf>
    <xf numFmtId="0" fontId="1" fillId="2" borderId="12" xfId="153" applyFont="1" applyFill="1" applyBorder="1" applyAlignment="1">
      <alignment vertical="top" wrapText="1"/>
    </xf>
    <xf numFmtId="0" fontId="8" fillId="2" borderId="5" xfId="198" applyFont="1" applyFill="1" applyBorder="1" applyAlignment="1">
      <alignment horizontal="left" vertical="center" wrapText="1"/>
    </xf>
    <xf numFmtId="0" fontId="8" fillId="2" borderId="11" xfId="198" applyFont="1" applyFill="1" applyBorder="1" applyAlignment="1">
      <alignment horizontal="center" vertical="center" wrapText="1"/>
    </xf>
    <xf numFmtId="0" fontId="8" fillId="2" borderId="13" xfId="198" applyFont="1" applyFill="1" applyBorder="1" applyAlignment="1">
      <alignment horizontal="center" vertical="center" wrapText="1"/>
    </xf>
    <xf numFmtId="0" fontId="8" fillId="2" borderId="5" xfId="198" applyFont="1" applyFill="1" applyBorder="1" applyAlignment="1">
      <alignment horizontal="center" vertical="center" wrapText="1"/>
    </xf>
    <xf numFmtId="0" fontId="8" fillId="2" borderId="13" xfId="153" applyFont="1" applyFill="1" applyBorder="1" applyAlignment="1">
      <alignment horizontal="left" vertical="center"/>
    </xf>
    <xf numFmtId="0" fontId="8" fillId="2" borderId="14" xfId="198" applyFont="1" applyFill="1" applyBorder="1" applyAlignment="1">
      <alignment horizontal="center" vertical="center" wrapText="1"/>
    </xf>
    <xf numFmtId="0" fontId="11" fillId="0" borderId="5" xfId="153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192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93" fontId="11" fillId="0" borderId="5" xfId="0" applyNumberFormat="1" applyFont="1" applyBorder="1" applyAlignment="1">
      <alignment horizontal="center" vertical="center"/>
    </xf>
    <xf numFmtId="193" fontId="11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 readingOrder="1"/>
    </xf>
    <xf numFmtId="0" fontId="4" fillId="2" borderId="5" xfId="153" applyFont="1" applyFill="1" applyBorder="1" applyAlignment="1">
      <alignment horizontal="center" vertical="center" wrapText="1"/>
    </xf>
    <xf numFmtId="0" fontId="4" fillId="2" borderId="5" xfId="153" applyFont="1" applyFill="1" applyBorder="1" applyAlignment="1">
      <alignment horizontal="left" vertical="center" wrapText="1"/>
    </xf>
    <xf numFmtId="192" fontId="4" fillId="2" borderId="5" xfId="153" applyNumberFormat="1" applyFont="1" applyFill="1" applyBorder="1" applyAlignment="1">
      <alignment horizontal="center" vertical="center" wrapText="1"/>
    </xf>
    <xf numFmtId="192" fontId="4" fillId="0" borderId="5" xfId="153" applyNumberFormat="1" applyFont="1" applyBorder="1" applyAlignment="1">
      <alignment horizontal="center" vertical="center" wrapText="1"/>
    </xf>
    <xf numFmtId="194" fontId="7" fillId="2" borderId="5" xfId="153" applyNumberFormat="1" applyFont="1" applyFill="1" applyBorder="1" applyAlignment="1">
      <alignment horizontal="center" vertical="center" wrapText="1"/>
    </xf>
    <xf numFmtId="194" fontId="6" fillId="2" borderId="0" xfId="153" applyNumberFormat="1" applyFont="1" applyFill="1" applyAlignment="1">
      <alignment horizontal="center" vertical="center"/>
    </xf>
    <xf numFmtId="194" fontId="6" fillId="2" borderId="0" xfId="153" applyNumberFormat="1" applyFont="1" applyFill="1" applyAlignment="1">
      <alignment horizontal="center" vertical="center" wrapText="1"/>
    </xf>
    <xf numFmtId="0" fontId="11" fillId="0" borderId="0" xfId="153" applyFont="1">
      <alignment vertical="top"/>
    </xf>
    <xf numFmtId="0" fontId="11" fillId="2" borderId="0" xfId="153" applyFont="1" applyFill="1" applyAlignment="1">
      <alignment vertical="center"/>
    </xf>
    <xf numFmtId="0" fontId="11" fillId="0" borderId="0" xfId="153" applyFont="1" applyAlignment="1">
      <alignment horizontal="left" vertical="top"/>
    </xf>
    <xf numFmtId="0" fontId="11" fillId="0" borderId="0" xfId="153" applyFont="1" applyAlignment="1">
      <alignment horizontal="left" vertical="top" wrapText="1"/>
    </xf>
    <xf numFmtId="0" fontId="11" fillId="0" borderId="0" xfId="153" applyFont="1" applyAlignment="1">
      <alignment horizontal="center" vertical="top"/>
    </xf>
    <xf numFmtId="0" fontId="11" fillId="0" borderId="0" xfId="153" applyFont="1" applyAlignment="1">
      <alignment horizontal="center" vertical="center"/>
    </xf>
    <xf numFmtId="193" fontId="11" fillId="0" borderId="0" xfId="153" applyNumberFormat="1" applyFont="1" applyAlignment="1">
      <alignment horizontal="center" vertical="center"/>
    </xf>
    <xf numFmtId="0" fontId="11" fillId="2" borderId="0" xfId="153" applyFont="1" applyFill="1" applyAlignment="1">
      <alignment horizontal="center" vertical="center"/>
    </xf>
    <xf numFmtId="0" fontId="13" fillId="0" borderId="0" xfId="0" applyFont="1"/>
    <xf numFmtId="0" fontId="8" fillId="0" borderId="12" xfId="153" applyFont="1" applyBorder="1" applyAlignment="1">
      <alignment horizontal="center" vertical="center" wrapText="1"/>
    </xf>
    <xf numFmtId="0" fontId="8" fillId="0" borderId="4" xfId="153" applyFont="1" applyBorder="1" applyAlignment="1">
      <alignment horizontal="center" vertical="center" wrapText="1"/>
    </xf>
    <xf numFmtId="0" fontId="8" fillId="0" borderId="5" xfId="198" applyFont="1" applyBorder="1" applyAlignment="1">
      <alignment horizontal="center" vertical="center" wrapText="1"/>
    </xf>
    <xf numFmtId="193" fontId="8" fillId="0" borderId="5" xfId="198" applyNumberFormat="1" applyFont="1" applyBorder="1" applyAlignment="1">
      <alignment horizontal="center" vertical="center" wrapText="1"/>
    </xf>
    <xf numFmtId="0" fontId="8" fillId="0" borderId="5" xfId="153" applyFont="1" applyBorder="1" applyAlignment="1">
      <alignment horizontal="center" vertical="center" wrapText="1"/>
    </xf>
    <xf numFmtId="0" fontId="11" fillId="0" borderId="5" xfId="153" applyFont="1" applyBorder="1" applyAlignment="1">
      <alignment horizontal="center" vertical="center" wrapText="1"/>
    </xf>
    <xf numFmtId="192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2" borderId="5" xfId="153" applyFont="1" applyFill="1" applyBorder="1" applyAlignment="1">
      <alignment horizontal="center" vertical="center"/>
    </xf>
    <xf numFmtId="0" fontId="11" fillId="2" borderId="5" xfId="153" applyFont="1" applyFill="1" applyBorder="1" applyAlignment="1">
      <alignment horizontal="center" vertical="center" wrapText="1"/>
    </xf>
    <xf numFmtId="192" fontId="11" fillId="2" borderId="5" xfId="153" applyNumberFormat="1" applyFont="1" applyFill="1" applyBorder="1" applyAlignment="1">
      <alignment horizontal="center" vertical="center" wrapText="1"/>
    </xf>
    <xf numFmtId="193" fontId="11" fillId="2" borderId="5" xfId="153" applyNumberFormat="1" applyFont="1" applyFill="1" applyBorder="1" applyAlignment="1">
      <alignment horizontal="center" vertical="center" wrapText="1"/>
    </xf>
    <xf numFmtId="0" fontId="11" fillId="2" borderId="0" xfId="153" applyFont="1" applyFill="1">
      <alignment vertical="top"/>
    </xf>
    <xf numFmtId="0" fontId="11" fillId="2" borderId="0" xfId="153" applyFont="1" applyFill="1" applyAlignment="1">
      <alignment vertical="top" wrapText="1"/>
    </xf>
    <xf numFmtId="0" fontId="11" fillId="2" borderId="0" xfId="153" applyFont="1" applyFill="1" applyAlignment="1">
      <alignment horizontal="center" vertical="top"/>
    </xf>
    <xf numFmtId="193" fontId="11" fillId="2" borderId="0" xfId="153" applyNumberFormat="1" applyFont="1" applyFill="1" applyAlignment="1">
      <alignment horizontal="center" vertical="top"/>
    </xf>
    <xf numFmtId="0" fontId="8" fillId="2" borderId="5" xfId="153" applyFont="1" applyFill="1" applyBorder="1" applyAlignment="1">
      <alignment horizontal="left" vertical="center" wrapText="1"/>
    </xf>
    <xf numFmtId="193" fontId="8" fillId="2" borderId="5" xfId="198" applyNumberFormat="1" applyFont="1" applyFill="1" applyBorder="1" applyAlignment="1">
      <alignment horizontal="center" vertical="center" wrapText="1"/>
    </xf>
    <xf numFmtId="0" fontId="8" fillId="2" borderId="11" xfId="153" applyFont="1" applyFill="1" applyBorder="1" applyAlignment="1">
      <alignment horizontal="center" vertical="center" wrapText="1"/>
    </xf>
    <xf numFmtId="0" fontId="8" fillId="2" borderId="4" xfId="153" applyFont="1" applyFill="1" applyBorder="1" applyAlignment="1">
      <alignment horizontal="center" vertical="center" wrapText="1"/>
    </xf>
    <xf numFmtId="0" fontId="8" fillId="2" borderId="5" xfId="153" applyFont="1" applyFill="1" applyBorder="1" applyAlignment="1">
      <alignment horizontal="center" vertical="center" wrapText="1"/>
    </xf>
    <xf numFmtId="0" fontId="8" fillId="2" borderId="5" xfId="153" applyFont="1" applyFill="1" applyBorder="1" applyAlignment="1">
      <alignment horizontal="center" vertical="top"/>
    </xf>
    <xf numFmtId="0" fontId="6" fillId="0" borderId="5" xfId="0" applyFont="1" applyBorder="1" applyAlignment="1">
      <alignment horizontal="left" vertical="center"/>
    </xf>
    <xf numFmtId="0" fontId="11" fillId="2" borderId="5" xfId="153" applyFont="1" applyFill="1" applyBorder="1" applyAlignment="1">
      <alignment vertical="top" wrapText="1"/>
    </xf>
    <xf numFmtId="192" fontId="8" fillId="2" borderId="5" xfId="153" applyNumberFormat="1" applyFont="1" applyFill="1" applyBorder="1" applyAlignment="1">
      <alignment horizontal="center" vertical="center" wrapText="1"/>
    </xf>
    <xf numFmtId="193" fontId="8" fillId="2" borderId="5" xfId="153" applyNumberFormat="1" applyFont="1" applyFill="1" applyBorder="1" applyAlignment="1">
      <alignment horizontal="center" vertical="center" wrapText="1"/>
    </xf>
    <xf numFmtId="0" fontId="11" fillId="2" borderId="5" xfId="153" applyFont="1" applyFill="1" applyBorder="1" applyAlignment="1">
      <alignment horizontal="center" vertical="top"/>
    </xf>
    <xf numFmtId="0" fontId="8" fillId="2" borderId="1" xfId="198" applyFont="1" applyFill="1" applyBorder="1" applyAlignment="1">
      <alignment horizontal="left" vertical="center" wrapText="1"/>
    </xf>
    <xf numFmtId="0" fontId="8" fillId="2" borderId="2" xfId="198" applyFont="1" applyFill="1" applyBorder="1" applyAlignment="1">
      <alignment horizontal="left" vertical="center" wrapText="1"/>
    </xf>
    <xf numFmtId="0" fontId="8" fillId="2" borderId="2" xfId="198" applyFont="1" applyFill="1" applyBorder="1" applyAlignment="1">
      <alignment horizontal="center" vertical="center" wrapText="1"/>
    </xf>
    <xf numFmtId="193" fontId="8" fillId="2" borderId="3" xfId="198" applyNumberFormat="1" applyFont="1" applyFill="1" applyBorder="1" applyAlignment="1">
      <alignment horizontal="center" vertical="center" wrapText="1"/>
    </xf>
    <xf numFmtId="0" fontId="11" fillId="2" borderId="6" xfId="198" applyFont="1" applyFill="1" applyBorder="1" applyAlignment="1">
      <alignment horizontal="left" vertical="center" wrapText="1"/>
    </xf>
    <xf numFmtId="0" fontId="11" fillId="2" borderId="0" xfId="198" applyFont="1" applyFill="1" applyAlignment="1">
      <alignment horizontal="left" vertical="center" wrapText="1"/>
    </xf>
    <xf numFmtId="0" fontId="11" fillId="2" borderId="0" xfId="198" applyFont="1" applyFill="1" applyAlignment="1">
      <alignment horizontal="center" vertical="center" wrapText="1"/>
    </xf>
    <xf numFmtId="193" fontId="11" fillId="2" borderId="7" xfId="198" applyNumberFormat="1" applyFont="1" applyFill="1" applyBorder="1" applyAlignment="1">
      <alignment horizontal="center" vertical="center" wrapText="1"/>
    </xf>
    <xf numFmtId="0" fontId="11" fillId="2" borderId="8" xfId="198" applyFont="1" applyFill="1" applyBorder="1" applyAlignment="1">
      <alignment horizontal="left" vertical="center" wrapText="1"/>
    </xf>
    <xf numFmtId="0" fontId="11" fillId="2" borderId="9" xfId="198" applyFont="1" applyFill="1" applyBorder="1" applyAlignment="1">
      <alignment horizontal="left" vertical="center" wrapText="1"/>
    </xf>
    <xf numFmtId="0" fontId="11" fillId="2" borderId="9" xfId="198" applyFont="1" applyFill="1" applyBorder="1" applyAlignment="1">
      <alignment horizontal="center" vertical="center" wrapText="1"/>
    </xf>
    <xf numFmtId="193" fontId="11" fillId="2" borderId="10" xfId="198" applyNumberFormat="1" applyFont="1" applyFill="1" applyBorder="1" applyAlignment="1">
      <alignment horizontal="center" vertical="center" wrapText="1"/>
    </xf>
    <xf numFmtId="0" fontId="8" fillId="2" borderId="5" xfId="153" applyFont="1" applyFill="1" applyBorder="1" applyAlignment="1">
      <alignment horizontal="left" vertical="center" wrapText="1"/>
    </xf>
    <xf numFmtId="193" fontId="8" fillId="2" borderId="5" xfId="198" applyNumberFormat="1" applyFont="1" applyFill="1" applyBorder="1" applyAlignment="1">
      <alignment horizontal="center" vertical="center" wrapText="1"/>
    </xf>
    <xf numFmtId="0" fontId="8" fillId="2" borderId="5" xfId="198" applyFont="1" applyFill="1" applyBorder="1" applyAlignment="1">
      <alignment horizontal="center" vertical="center" wrapText="1"/>
    </xf>
    <xf numFmtId="0" fontId="8" fillId="2" borderId="11" xfId="153" applyFont="1" applyFill="1" applyBorder="1" applyAlignment="1">
      <alignment horizontal="center" vertical="center" wrapText="1"/>
    </xf>
    <xf numFmtId="0" fontId="8" fillId="2" borderId="12" xfId="153" applyFont="1" applyFill="1" applyBorder="1" applyAlignment="1">
      <alignment horizontal="center" vertical="center" wrapText="1"/>
    </xf>
    <xf numFmtId="0" fontId="8" fillId="2" borderId="4" xfId="153" applyFont="1" applyFill="1" applyBorder="1" applyAlignment="1">
      <alignment horizontal="center" vertical="center" wrapText="1"/>
    </xf>
    <xf numFmtId="0" fontId="8" fillId="2" borderId="11" xfId="198" applyFont="1" applyFill="1" applyBorder="1" applyAlignment="1">
      <alignment horizontal="center" vertical="center" wrapText="1"/>
    </xf>
    <xf numFmtId="0" fontId="8" fillId="2" borderId="12" xfId="198" applyFont="1" applyFill="1" applyBorder="1" applyAlignment="1">
      <alignment horizontal="center" vertical="center" wrapText="1"/>
    </xf>
    <xf numFmtId="0" fontId="8" fillId="2" borderId="10" xfId="198" applyFont="1" applyFill="1" applyBorder="1" applyAlignment="1">
      <alignment horizontal="center" vertical="center" wrapText="1"/>
    </xf>
    <xf numFmtId="0" fontId="8" fillId="2" borderId="11" xfId="153" applyFont="1" applyFill="1" applyBorder="1" applyAlignment="1">
      <alignment horizontal="center" vertical="center"/>
    </xf>
    <xf numFmtId="0" fontId="8" fillId="2" borderId="12" xfId="153" applyFont="1" applyFill="1" applyBorder="1" applyAlignment="1">
      <alignment horizontal="center" vertical="center"/>
    </xf>
    <xf numFmtId="0" fontId="8" fillId="2" borderId="4" xfId="153" applyFont="1" applyFill="1" applyBorder="1" applyAlignment="1">
      <alignment horizontal="center" vertical="center"/>
    </xf>
    <xf numFmtId="193" fontId="14" fillId="2" borderId="4" xfId="198" applyNumberFormat="1" applyFont="1" applyFill="1" applyBorder="1" applyAlignment="1">
      <alignment horizontal="center" vertical="center" wrapText="1"/>
    </xf>
    <xf numFmtId="0" fontId="14" fillId="2" borderId="5" xfId="198" applyFont="1" applyFill="1" applyBorder="1" applyAlignment="1">
      <alignment horizontal="center" vertical="center" wrapText="1"/>
    </xf>
    <xf numFmtId="0" fontId="8" fillId="2" borderId="2" xfId="153" applyFont="1" applyFill="1" applyBorder="1" applyAlignment="1">
      <alignment horizontal="center" vertical="center" wrapText="1"/>
    </xf>
    <xf numFmtId="0" fontId="8" fillId="2" borderId="3" xfId="153" applyFont="1" applyFill="1" applyBorder="1" applyAlignment="1">
      <alignment horizontal="center" vertical="center" wrapText="1"/>
    </xf>
    <xf numFmtId="0" fontId="8" fillId="2" borderId="9" xfId="153" applyFont="1" applyFill="1" applyBorder="1" applyAlignment="1">
      <alignment horizontal="center" vertical="center" wrapText="1"/>
    </xf>
    <xf numFmtId="0" fontId="8" fillId="2" borderId="10" xfId="153" applyFont="1" applyFill="1" applyBorder="1" applyAlignment="1">
      <alignment horizontal="center" vertical="center" wrapText="1"/>
    </xf>
    <xf numFmtId="0" fontId="8" fillId="0" borderId="0" xfId="198" applyFont="1" applyAlignment="1">
      <alignment horizontal="left" vertical="center" wrapText="1"/>
    </xf>
    <xf numFmtId="0" fontId="8" fillId="0" borderId="0" xfId="198" applyFont="1" applyAlignment="1">
      <alignment horizontal="center" vertical="center" wrapText="1"/>
    </xf>
    <xf numFmtId="0" fontId="8" fillId="0" borderId="7" xfId="198" applyFont="1" applyBorder="1" applyAlignment="1">
      <alignment horizontal="center" vertical="center" wrapText="1"/>
    </xf>
    <xf numFmtId="0" fontId="11" fillId="0" borderId="0" xfId="198" applyFont="1" applyAlignment="1">
      <alignment horizontal="left" vertical="center" wrapText="1"/>
    </xf>
    <xf numFmtId="0" fontId="11" fillId="0" borderId="0" xfId="198" applyFont="1" applyAlignment="1">
      <alignment horizontal="center" vertical="center" wrapText="1"/>
    </xf>
    <xf numFmtId="0" fontId="11" fillId="0" borderId="7" xfId="198" applyFont="1" applyBorder="1" applyAlignment="1">
      <alignment horizontal="center" vertical="center" wrapText="1"/>
    </xf>
    <xf numFmtId="0" fontId="11" fillId="0" borderId="8" xfId="198" applyFont="1" applyBorder="1" applyAlignment="1">
      <alignment horizontal="left" vertical="center" wrapText="1"/>
    </xf>
    <xf numFmtId="0" fontId="11" fillId="0" borderId="9" xfId="198" applyFont="1" applyBorder="1" applyAlignment="1">
      <alignment horizontal="left" vertical="center" wrapText="1"/>
    </xf>
    <xf numFmtId="0" fontId="11" fillId="0" borderId="9" xfId="198" applyFont="1" applyBorder="1" applyAlignment="1">
      <alignment horizontal="center" vertical="center" wrapText="1"/>
    </xf>
    <xf numFmtId="0" fontId="11" fillId="0" borderId="10" xfId="198" applyFont="1" applyBorder="1" applyAlignment="1">
      <alignment horizontal="center" vertical="center" wrapText="1"/>
    </xf>
    <xf numFmtId="0" fontId="8" fillId="0" borderId="1" xfId="198" applyFont="1" applyBorder="1" applyAlignment="1">
      <alignment horizontal="left" vertical="center" wrapText="1"/>
    </xf>
    <xf numFmtId="0" fontId="8" fillId="0" borderId="2" xfId="198" applyFont="1" applyBorder="1" applyAlignment="1">
      <alignment horizontal="left" vertical="center" wrapText="1"/>
    </xf>
    <xf numFmtId="0" fontId="8" fillId="0" borderId="2" xfId="198" applyFont="1" applyBorder="1" applyAlignment="1">
      <alignment horizontal="center" vertical="center" wrapText="1"/>
    </xf>
    <xf numFmtId="0" fontId="8" fillId="0" borderId="3" xfId="198" applyFont="1" applyBorder="1" applyAlignment="1">
      <alignment horizontal="center" vertical="center" wrapText="1"/>
    </xf>
    <xf numFmtId="0" fontId="8" fillId="0" borderId="11" xfId="153" applyFont="1" applyBorder="1" applyAlignment="1">
      <alignment horizontal="left" vertical="center" wrapText="1"/>
    </xf>
    <xf numFmtId="0" fontId="8" fillId="0" borderId="12" xfId="153" applyFont="1" applyBorder="1" applyAlignment="1">
      <alignment horizontal="left" vertical="center" wrapText="1"/>
    </xf>
    <xf numFmtId="0" fontId="8" fillId="0" borderId="4" xfId="153" applyFont="1" applyBorder="1" applyAlignment="1">
      <alignment horizontal="left" vertical="center" wrapText="1"/>
    </xf>
    <xf numFmtId="193" fontId="8" fillId="2" borderId="11" xfId="198" applyNumberFormat="1" applyFont="1" applyFill="1" applyBorder="1" applyAlignment="1">
      <alignment horizontal="center" vertical="center" wrapText="1"/>
    </xf>
    <xf numFmtId="193" fontId="8" fillId="2" borderId="12" xfId="198" applyNumberFormat="1" applyFont="1" applyFill="1" applyBorder="1" applyAlignment="1">
      <alignment horizontal="center" vertical="center" wrapText="1"/>
    </xf>
    <xf numFmtId="193" fontId="8" fillId="2" borderId="4" xfId="198" applyNumberFormat="1" applyFont="1" applyFill="1" applyBorder="1" applyAlignment="1">
      <alignment horizontal="center" vertical="center" wrapText="1"/>
    </xf>
    <xf numFmtId="0" fontId="8" fillId="0" borderId="11" xfId="153" applyFont="1" applyBorder="1" applyAlignment="1">
      <alignment horizontal="center" vertical="center" wrapText="1"/>
    </xf>
    <xf numFmtId="0" fontId="8" fillId="0" borderId="12" xfId="153" applyFont="1" applyBorder="1" applyAlignment="1">
      <alignment horizontal="center" vertical="center" wrapText="1"/>
    </xf>
    <xf numFmtId="0" fontId="8" fillId="0" borderId="4" xfId="153" applyFont="1" applyBorder="1" applyAlignment="1">
      <alignment horizontal="center" vertical="center" wrapText="1"/>
    </xf>
    <xf numFmtId="0" fontId="8" fillId="0" borderId="12" xfId="198" applyFont="1" applyBorder="1" applyAlignment="1">
      <alignment horizontal="center" vertical="center" wrapText="1"/>
    </xf>
    <xf numFmtId="0" fontId="8" fillId="0" borderId="4" xfId="198" applyFont="1" applyBorder="1" applyAlignment="1">
      <alignment horizontal="center" vertical="center" wrapText="1"/>
    </xf>
    <xf numFmtId="0" fontId="8" fillId="0" borderId="11" xfId="153" applyFont="1" applyBorder="1" applyAlignment="1">
      <alignment horizontal="center" vertical="center"/>
    </xf>
    <xf numFmtId="0" fontId="8" fillId="0" borderId="12" xfId="153" applyFont="1" applyBorder="1" applyAlignment="1">
      <alignment horizontal="center" vertical="center"/>
    </xf>
    <xf numFmtId="0" fontId="8" fillId="0" borderId="4" xfId="153" applyFont="1" applyBorder="1" applyAlignment="1">
      <alignment horizontal="center" vertical="center"/>
    </xf>
    <xf numFmtId="0" fontId="11" fillId="2" borderId="5" xfId="153" applyFont="1" applyFill="1" applyBorder="1" applyAlignment="1">
      <alignment horizontal="center" vertical="center" wrapText="1"/>
    </xf>
    <xf numFmtId="0" fontId="8" fillId="0" borderId="4" xfId="153" applyFont="1" applyFill="1" applyBorder="1" applyAlignment="1">
      <alignment horizontal="center" vertical="center" wrapText="1"/>
    </xf>
    <xf numFmtId="0" fontId="8" fillId="0" borderId="13" xfId="198" applyFont="1" applyBorder="1" applyAlignment="1">
      <alignment horizontal="center" vertical="center" wrapText="1"/>
    </xf>
    <xf numFmtId="0" fontId="8" fillId="0" borderId="14" xfId="198" applyFont="1" applyBorder="1" applyAlignment="1">
      <alignment horizontal="center" vertical="center" wrapText="1"/>
    </xf>
    <xf numFmtId="0" fontId="8" fillId="2" borderId="13" xfId="198" applyFont="1" applyFill="1" applyBorder="1" applyAlignment="1">
      <alignment horizontal="center" vertical="center" wrapText="1"/>
    </xf>
    <xf numFmtId="0" fontId="8" fillId="2" borderId="14" xfId="198" applyFont="1" applyFill="1" applyBorder="1" applyAlignment="1">
      <alignment horizontal="center" vertical="center" wrapText="1"/>
    </xf>
    <xf numFmtId="193" fontId="14" fillId="0" borderId="1" xfId="198" applyNumberFormat="1" applyFont="1" applyBorder="1" applyAlignment="1">
      <alignment horizontal="center" vertical="center" wrapText="1"/>
    </xf>
    <xf numFmtId="193" fontId="14" fillId="0" borderId="2" xfId="198" applyNumberFormat="1" applyFont="1" applyBorder="1" applyAlignment="1">
      <alignment horizontal="center" vertical="center" wrapText="1"/>
    </xf>
    <xf numFmtId="193" fontId="14" fillId="0" borderId="3" xfId="198" applyNumberFormat="1" applyFont="1" applyBorder="1" applyAlignment="1">
      <alignment horizontal="center" vertical="center" wrapText="1"/>
    </xf>
    <xf numFmtId="193" fontId="14" fillId="0" borderId="6" xfId="198" applyNumberFormat="1" applyFont="1" applyBorder="1" applyAlignment="1">
      <alignment horizontal="center" vertical="center" wrapText="1"/>
    </xf>
    <xf numFmtId="193" fontId="14" fillId="0" borderId="0" xfId="198" applyNumberFormat="1" applyFont="1" applyAlignment="1">
      <alignment horizontal="center" vertical="center" wrapText="1"/>
    </xf>
    <xf numFmtId="193" fontId="14" fillId="0" borderId="7" xfId="198" applyNumberFormat="1" applyFont="1" applyBorder="1" applyAlignment="1">
      <alignment horizontal="center" vertical="center" wrapText="1"/>
    </xf>
    <xf numFmtId="193" fontId="14" fillId="0" borderId="8" xfId="198" applyNumberFormat="1" applyFont="1" applyBorder="1" applyAlignment="1">
      <alignment horizontal="center" vertical="center" wrapText="1"/>
    </xf>
    <xf numFmtId="193" fontId="14" fillId="0" borderId="9" xfId="198" applyNumberFormat="1" applyFont="1" applyBorder="1" applyAlignment="1">
      <alignment horizontal="center" vertical="center" wrapText="1"/>
    </xf>
    <xf numFmtId="193" fontId="14" fillId="0" borderId="10" xfId="198" applyNumberFormat="1" applyFont="1" applyBorder="1" applyAlignment="1">
      <alignment horizontal="center" vertical="center" wrapText="1"/>
    </xf>
    <xf numFmtId="0" fontId="8" fillId="2" borderId="1" xfId="153" applyFont="1" applyFill="1" applyBorder="1" applyAlignment="1">
      <alignment horizontal="center" vertical="center" wrapText="1"/>
    </xf>
    <xf numFmtId="0" fontId="8" fillId="2" borderId="8" xfId="153" applyFont="1" applyFill="1" applyBorder="1" applyAlignment="1">
      <alignment horizontal="center" vertical="center" wrapText="1"/>
    </xf>
    <xf numFmtId="0" fontId="3" fillId="2" borderId="1" xfId="198" applyFont="1" applyFill="1" applyBorder="1" applyAlignment="1">
      <alignment horizontal="left" vertical="center" wrapText="1"/>
    </xf>
    <xf numFmtId="0" fontId="3" fillId="2" borderId="2" xfId="198" applyFont="1" applyFill="1" applyBorder="1" applyAlignment="1">
      <alignment horizontal="left" vertical="center" wrapText="1"/>
    </xf>
    <xf numFmtId="0" fontId="3" fillId="2" borderId="2" xfId="198" applyFont="1" applyFill="1" applyBorder="1" applyAlignment="1">
      <alignment horizontal="center" vertical="center" wrapText="1"/>
    </xf>
    <xf numFmtId="193" fontId="4" fillId="0" borderId="3" xfId="198" applyNumberFormat="1" applyFont="1" applyBorder="1" applyAlignment="1">
      <alignment horizontal="center" vertical="center" wrapText="1"/>
    </xf>
    <xf numFmtId="0" fontId="6" fillId="2" borderId="6" xfId="198" applyFont="1" applyFill="1" applyBorder="1" applyAlignment="1">
      <alignment horizontal="left" vertical="center" wrapText="1"/>
    </xf>
    <xf numFmtId="0" fontId="6" fillId="2" borderId="0" xfId="198" applyFont="1" applyFill="1" applyAlignment="1">
      <alignment horizontal="left" vertical="center" wrapText="1"/>
    </xf>
    <xf numFmtId="0" fontId="6" fillId="2" borderId="0" xfId="198" applyFont="1" applyFill="1" applyAlignment="1">
      <alignment horizontal="center" vertical="center" wrapText="1"/>
    </xf>
    <xf numFmtId="193" fontId="2" fillId="0" borderId="7" xfId="198" applyNumberFormat="1" applyFont="1" applyBorder="1" applyAlignment="1">
      <alignment horizontal="center" vertical="center" wrapText="1"/>
    </xf>
    <xf numFmtId="0" fontId="6" fillId="2" borderId="8" xfId="198" applyFont="1" applyFill="1" applyBorder="1" applyAlignment="1">
      <alignment horizontal="left" vertical="center" wrapText="1"/>
    </xf>
    <xf numFmtId="0" fontId="6" fillId="2" borderId="9" xfId="198" applyFont="1" applyFill="1" applyBorder="1" applyAlignment="1">
      <alignment horizontal="left" vertical="center" wrapText="1"/>
    </xf>
    <xf numFmtId="0" fontId="6" fillId="2" borderId="9" xfId="198" applyFont="1" applyFill="1" applyBorder="1" applyAlignment="1">
      <alignment horizontal="center" vertical="center" wrapText="1"/>
    </xf>
    <xf numFmtId="193" fontId="2" fillId="0" borderId="10" xfId="198" applyNumberFormat="1" applyFont="1" applyBorder="1" applyAlignment="1">
      <alignment horizontal="center" vertical="center" wrapText="1"/>
    </xf>
    <xf numFmtId="0" fontId="3" fillId="2" borderId="6" xfId="198" applyFont="1" applyFill="1" applyBorder="1" applyAlignment="1">
      <alignment horizontal="left" vertical="center" wrapText="1"/>
    </xf>
    <xf numFmtId="0" fontId="3" fillId="2" borderId="0" xfId="198" applyFont="1" applyFill="1" applyAlignment="1">
      <alignment horizontal="left" vertical="center" wrapText="1"/>
    </xf>
    <xf numFmtId="0" fontId="3" fillId="2" borderId="0" xfId="198" applyFont="1" applyFill="1" applyAlignment="1">
      <alignment horizontal="center" vertical="center" wrapText="1"/>
    </xf>
    <xf numFmtId="193" fontId="4" fillId="0" borderId="7" xfId="198" applyNumberFormat="1" applyFont="1" applyBorder="1" applyAlignment="1">
      <alignment horizontal="center" vertical="center" wrapText="1"/>
    </xf>
    <xf numFmtId="0" fontId="3" fillId="2" borderId="11" xfId="153" applyFont="1" applyFill="1" applyBorder="1" applyAlignment="1">
      <alignment horizontal="left" vertical="center" wrapText="1"/>
    </xf>
    <xf numFmtId="0" fontId="3" fillId="2" borderId="12" xfId="153" applyFont="1" applyFill="1" applyBorder="1" applyAlignment="1">
      <alignment horizontal="left" vertical="center" wrapText="1"/>
    </xf>
    <xf numFmtId="0" fontId="7" fillId="2" borderId="11" xfId="198" applyFont="1" applyFill="1" applyBorder="1" applyAlignment="1">
      <alignment horizontal="center" vertical="center" wrapText="1"/>
    </xf>
    <xf numFmtId="0" fontId="7" fillId="2" borderId="12" xfId="198" applyFont="1" applyFill="1" applyBorder="1" applyAlignment="1">
      <alignment horizontal="center" vertical="center" wrapText="1"/>
    </xf>
    <xf numFmtId="0" fontId="7" fillId="2" borderId="4" xfId="198" applyFont="1" applyFill="1" applyBorder="1" applyAlignment="1">
      <alignment horizontal="center" vertical="center" wrapText="1"/>
    </xf>
    <xf numFmtId="0" fontId="3" fillId="2" borderId="4" xfId="153" applyFont="1" applyFill="1" applyBorder="1" applyAlignment="1">
      <alignment horizontal="left" vertical="center" wrapText="1"/>
    </xf>
    <xf numFmtId="0" fontId="7" fillId="2" borderId="11" xfId="153" applyFont="1" applyFill="1" applyBorder="1" applyAlignment="1">
      <alignment horizontal="center" vertical="center" wrapText="1"/>
    </xf>
    <xf numFmtId="0" fontId="7" fillId="2" borderId="12" xfId="153" applyFont="1" applyFill="1" applyBorder="1" applyAlignment="1">
      <alignment horizontal="center" vertical="center" wrapText="1"/>
    </xf>
    <xf numFmtId="0" fontId="7" fillId="2" borderId="4" xfId="153" applyFont="1" applyFill="1" applyBorder="1" applyAlignment="1">
      <alignment horizontal="center" vertical="center" wrapText="1"/>
    </xf>
    <xf numFmtId="0" fontId="8" fillId="2" borderId="12" xfId="198" applyFont="1" applyFill="1" applyBorder="1" applyAlignment="1">
      <alignment horizontal="left" vertical="center" wrapText="1"/>
    </xf>
    <xf numFmtId="0" fontId="8" fillId="2" borderId="4" xfId="198" applyFont="1" applyFill="1" applyBorder="1" applyAlignment="1">
      <alignment horizontal="center" vertical="center" wrapText="1"/>
    </xf>
    <xf numFmtId="0" fontId="9" fillId="2" borderId="5" xfId="153" applyFont="1" applyFill="1" applyBorder="1" applyAlignment="1">
      <alignment horizontal="center" vertical="center" wrapText="1"/>
    </xf>
    <xf numFmtId="0" fontId="9" fillId="2" borderId="5" xfId="153" applyFont="1" applyFill="1" applyBorder="1" applyAlignment="1">
      <alignment horizontal="left" vertical="center" wrapText="1"/>
    </xf>
    <xf numFmtId="193" fontId="10" fillId="0" borderId="5" xfId="153" applyNumberFormat="1" applyFont="1" applyBorder="1" applyAlignment="1">
      <alignment horizontal="center" vertical="center" wrapText="1"/>
    </xf>
    <xf numFmtId="0" fontId="4" fillId="2" borderId="5" xfId="153" applyFont="1" applyFill="1" applyBorder="1" applyAlignment="1">
      <alignment horizontal="left" vertical="center" wrapText="1"/>
    </xf>
    <xf numFmtId="0" fontId="12" fillId="2" borderId="5" xfId="153" applyFont="1" applyFill="1" applyBorder="1" applyAlignment="1">
      <alignment horizontal="center" vertical="center" wrapText="1"/>
    </xf>
    <xf numFmtId="0" fontId="12" fillId="2" borderId="5" xfId="153" applyFont="1" applyFill="1" applyBorder="1" applyAlignment="1">
      <alignment horizontal="center" vertical="center"/>
    </xf>
    <xf numFmtId="193" fontId="12" fillId="0" borderId="5" xfId="153" applyNumberFormat="1" applyFont="1" applyBorder="1" applyAlignment="1">
      <alignment horizontal="center" vertical="center"/>
    </xf>
    <xf numFmtId="193" fontId="12" fillId="2" borderId="5" xfId="153" applyNumberFormat="1" applyFont="1" applyFill="1" applyBorder="1" applyAlignment="1">
      <alignment horizontal="center" vertical="center"/>
    </xf>
    <xf numFmtId="192" fontId="4" fillId="0" borderId="13" xfId="198" applyNumberFormat="1" applyFont="1" applyBorder="1" applyAlignment="1">
      <alignment horizontal="center" vertical="center" wrapText="1"/>
    </xf>
    <xf numFmtId="192" fontId="4" fillId="0" borderId="14" xfId="198" applyNumberFormat="1" applyFont="1" applyBorder="1" applyAlignment="1">
      <alignment horizontal="center" vertical="center" wrapText="1"/>
    </xf>
    <xf numFmtId="192" fontId="11" fillId="0" borderId="13" xfId="0" applyNumberFormat="1" applyFont="1" applyBorder="1" applyAlignment="1">
      <alignment horizontal="center" vertical="center"/>
    </xf>
    <xf numFmtId="192" fontId="11" fillId="0" borderId="15" xfId="0" applyNumberFormat="1" applyFont="1" applyBorder="1" applyAlignment="1">
      <alignment horizontal="center" vertical="center"/>
    </xf>
    <xf numFmtId="192" fontId="11" fillId="0" borderId="14" xfId="0" applyNumberFormat="1" applyFont="1" applyBorder="1" applyAlignment="1">
      <alignment horizontal="center" vertical="center"/>
    </xf>
    <xf numFmtId="0" fontId="7" fillId="2" borderId="1" xfId="153" applyFont="1" applyFill="1" applyBorder="1" applyAlignment="1">
      <alignment horizontal="center" vertical="center" wrapText="1"/>
    </xf>
    <xf numFmtId="0" fontId="7" fillId="2" borderId="2" xfId="153" applyFont="1" applyFill="1" applyBorder="1" applyAlignment="1">
      <alignment horizontal="center" vertical="center" wrapText="1"/>
    </xf>
    <xf numFmtId="193" fontId="7" fillId="0" borderId="3" xfId="153" applyNumberFormat="1" applyFont="1" applyBorder="1" applyAlignment="1">
      <alignment horizontal="center" vertical="center" wrapText="1"/>
    </xf>
    <xf numFmtId="0" fontId="7" fillId="2" borderId="8" xfId="153" applyFont="1" applyFill="1" applyBorder="1" applyAlignment="1">
      <alignment horizontal="center" vertical="center" wrapText="1"/>
    </xf>
    <xf numFmtId="0" fontId="7" fillId="2" borderId="9" xfId="153" applyFont="1" applyFill="1" applyBorder="1" applyAlignment="1">
      <alignment horizontal="center" vertical="center" wrapText="1"/>
    </xf>
    <xf numFmtId="193" fontId="7" fillId="0" borderId="10" xfId="153" applyNumberFormat="1" applyFont="1" applyBorder="1" applyAlignment="1">
      <alignment horizontal="center" vertical="center" wrapText="1"/>
    </xf>
    <xf numFmtId="0" fontId="5" fillId="2" borderId="4" xfId="198" applyFont="1" applyFill="1" applyBorder="1" applyAlignment="1">
      <alignment horizontal="center" vertical="center" wrapText="1"/>
    </xf>
    <xf numFmtId="0" fontId="5" fillId="2" borderId="5" xfId="198" applyFont="1" applyFill="1" applyBorder="1" applyAlignment="1">
      <alignment horizontal="center" vertical="center" wrapText="1"/>
    </xf>
  </cellXfs>
  <cellStyles count="200">
    <cellStyle name="Normal" xfId="0" builtinId="0"/>
    <cellStyle name="ปกติ 10" xfId="1" xr:uid="{00000000-0005-0000-0000-000031000000}"/>
    <cellStyle name="ปกติ 10 2" xfId="2" xr:uid="{00000000-0005-0000-0000-000032000000}"/>
    <cellStyle name="ปกติ 10 3" xfId="3" xr:uid="{00000000-0005-0000-0000-000033000000}"/>
    <cellStyle name="ปกติ 100" xfId="4" xr:uid="{00000000-0005-0000-0000-000034000000}"/>
    <cellStyle name="ปกติ 100 10" xfId="5" xr:uid="{00000000-0005-0000-0000-000035000000}"/>
    <cellStyle name="ปกติ 100 2" xfId="6" xr:uid="{00000000-0005-0000-0000-000036000000}"/>
    <cellStyle name="ปกติ 100 3" xfId="7" xr:uid="{00000000-0005-0000-0000-000037000000}"/>
    <cellStyle name="ปกติ 100 6 2" xfId="8" xr:uid="{00000000-0005-0000-0000-000038000000}"/>
    <cellStyle name="ปกติ 102 2 2 5 3 2 2 2 2 2 2 2" xfId="9" xr:uid="{00000000-0005-0000-0000-000039000000}"/>
    <cellStyle name="ปกติ 102 2 2 5 3 2 2 2 2 2 2 2 10" xfId="10" xr:uid="{00000000-0005-0000-0000-00003A000000}"/>
    <cellStyle name="ปกติ 102 2 2 5 3 2 2 2 2 2 2 2 2 2" xfId="11" xr:uid="{00000000-0005-0000-0000-00003B000000}"/>
    <cellStyle name="ปกติ 102 2 2 5 3 2 2 2 2 2 2 2 2 3 2" xfId="12" xr:uid="{00000000-0005-0000-0000-00003C000000}"/>
    <cellStyle name="ปกติ 102 2 2 5 3 2 2 2 2 2 2 2 2 3 2 2" xfId="13" xr:uid="{00000000-0005-0000-0000-00003D000000}"/>
    <cellStyle name="ปกติ 102 2 2 5 3 2 2 2 2 2 2 2 2 4" xfId="14" xr:uid="{00000000-0005-0000-0000-00003E000000}"/>
    <cellStyle name="ปกติ 102 2 2 5 3 2 2 2 2 2 2 2 2 4 2" xfId="15" xr:uid="{00000000-0005-0000-0000-00003F000000}"/>
    <cellStyle name="ปกติ 102 2 2 5 3 2 2 2 2 2 2 2 2 4 2 2" xfId="16" xr:uid="{00000000-0005-0000-0000-000040000000}"/>
    <cellStyle name="ปกติ 102 2 2 5 3 2 2 2 2 2 2 2 6 2" xfId="17" xr:uid="{00000000-0005-0000-0000-000041000000}"/>
    <cellStyle name="ปกติ 102 2 2 5 3 2 2 2 2 2 2 2 6 2 2" xfId="18" xr:uid="{00000000-0005-0000-0000-000042000000}"/>
    <cellStyle name="ปกติ 103 2 4" xfId="19" xr:uid="{00000000-0005-0000-0000-000043000000}"/>
    <cellStyle name="ปกติ 104" xfId="20" xr:uid="{00000000-0005-0000-0000-000044000000}"/>
    <cellStyle name="ปกติ 104 11 2 4 5" xfId="21" xr:uid="{00000000-0005-0000-0000-000045000000}"/>
    <cellStyle name="ปกติ 105" xfId="22" xr:uid="{00000000-0005-0000-0000-000046000000}"/>
    <cellStyle name="ปกติ 11" xfId="23" xr:uid="{00000000-0005-0000-0000-000047000000}"/>
    <cellStyle name="ปกติ 11 3 2 2 2 3" xfId="24" xr:uid="{00000000-0005-0000-0000-000048000000}"/>
    <cellStyle name="ปกติ 11 3 2 2 3" xfId="25" xr:uid="{00000000-0005-0000-0000-000049000000}"/>
    <cellStyle name="ปกติ 11 3 2 3 2 2" xfId="26" xr:uid="{00000000-0005-0000-0000-00004A000000}"/>
    <cellStyle name="ปกติ 11 3 2 3 3 3" xfId="27" xr:uid="{00000000-0005-0000-0000-00004B000000}"/>
    <cellStyle name="ปกติ 11 3 2 3 4" xfId="28" xr:uid="{00000000-0005-0000-0000-00004C000000}"/>
    <cellStyle name="ปกติ 11 3 2 3 4 2" xfId="29" xr:uid="{00000000-0005-0000-0000-00004D000000}"/>
    <cellStyle name="ปกติ 11 3 2 3 9" xfId="30" xr:uid="{00000000-0005-0000-0000-00004E000000}"/>
    <cellStyle name="ปกติ 11 3 2 3 9 2" xfId="31" xr:uid="{00000000-0005-0000-0000-00004F000000}"/>
    <cellStyle name="ปกติ 113 2" xfId="32" xr:uid="{00000000-0005-0000-0000-000050000000}"/>
    <cellStyle name="ปกติ 113 2 2" xfId="33" xr:uid="{00000000-0005-0000-0000-000051000000}"/>
    <cellStyle name="ปกติ 114 18" xfId="34" xr:uid="{00000000-0005-0000-0000-000052000000}"/>
    <cellStyle name="ปกติ 118" xfId="35" xr:uid="{00000000-0005-0000-0000-000053000000}"/>
    <cellStyle name="ปกติ 12 8" xfId="36" xr:uid="{00000000-0005-0000-0000-000054000000}"/>
    <cellStyle name="ปกติ 122 2" xfId="37" xr:uid="{00000000-0005-0000-0000-000055000000}"/>
    <cellStyle name="ปกติ 123" xfId="38" xr:uid="{00000000-0005-0000-0000-000056000000}"/>
    <cellStyle name="ปกติ 124" xfId="39" xr:uid="{00000000-0005-0000-0000-000057000000}"/>
    <cellStyle name="ปกติ 13" xfId="40" xr:uid="{00000000-0005-0000-0000-000058000000}"/>
    <cellStyle name="ปกติ 13 2" xfId="41" xr:uid="{00000000-0005-0000-0000-000059000000}"/>
    <cellStyle name="ปกติ 13 2 3" xfId="42" xr:uid="{00000000-0005-0000-0000-00005A000000}"/>
    <cellStyle name="ปกติ 130" xfId="43" xr:uid="{00000000-0005-0000-0000-00005B000000}"/>
    <cellStyle name="ปกติ 134 2 2" xfId="44" xr:uid="{00000000-0005-0000-0000-00005C000000}"/>
    <cellStyle name="ปกติ 139 2" xfId="45" xr:uid="{00000000-0005-0000-0000-00005D000000}"/>
    <cellStyle name="ปกติ 141" xfId="46" xr:uid="{00000000-0005-0000-0000-00005E000000}"/>
    <cellStyle name="ปกติ 141 2 2 3" xfId="47" xr:uid="{00000000-0005-0000-0000-00005F000000}"/>
    <cellStyle name="ปกติ 141 2 2 3 2" xfId="48" xr:uid="{00000000-0005-0000-0000-000060000000}"/>
    <cellStyle name="ปกติ 141 2 2 3 2 3" xfId="49" xr:uid="{00000000-0005-0000-0000-000061000000}"/>
    <cellStyle name="ปกติ 141 2 2 5 2 2" xfId="50" xr:uid="{00000000-0005-0000-0000-000062000000}"/>
    <cellStyle name="ปกติ 142 3 3" xfId="51" xr:uid="{00000000-0005-0000-0000-000063000000}"/>
    <cellStyle name="ปกติ 143" xfId="52" xr:uid="{00000000-0005-0000-0000-000064000000}"/>
    <cellStyle name="ปกติ 15" xfId="53" xr:uid="{00000000-0005-0000-0000-000065000000}"/>
    <cellStyle name="ปกติ 152 2 2" xfId="54" xr:uid="{00000000-0005-0000-0000-000066000000}"/>
    <cellStyle name="ปกติ 152 2 2 2" xfId="55" xr:uid="{00000000-0005-0000-0000-000067000000}"/>
    <cellStyle name="ปกติ 158 2 4 3 2 2 2 4 3" xfId="56" xr:uid="{00000000-0005-0000-0000-000068000000}"/>
    <cellStyle name="ปกติ 158 5 6" xfId="57" xr:uid="{00000000-0005-0000-0000-000069000000}"/>
    <cellStyle name="ปกติ 158 5 6 2" xfId="58" xr:uid="{00000000-0005-0000-0000-00006A000000}"/>
    <cellStyle name="ปกติ 158 6 2 2 2 2 2 2" xfId="59" xr:uid="{00000000-0005-0000-0000-00006B000000}"/>
    <cellStyle name="ปกติ 158 6 2 2 2 2 2 2 6 3 2" xfId="60" xr:uid="{00000000-0005-0000-0000-00006C000000}"/>
    <cellStyle name="ปกติ 158 6 2 2 2 2 2 2 6 3 2 2" xfId="61" xr:uid="{00000000-0005-0000-0000-00006D000000}"/>
    <cellStyle name="ปกติ 158 6 2 2 2 2 2 2 6 5 2 2 5 2 2 2 4" xfId="62" xr:uid="{00000000-0005-0000-0000-00006E000000}"/>
    <cellStyle name="ปกติ 158 6 2 2 2 2 2 2 6 5 2 2 5 2 2 2 4 2" xfId="63" xr:uid="{00000000-0005-0000-0000-00006F000000}"/>
    <cellStyle name="ปกติ 158 6 2 2 2 2 5 2 2 2 3 2 4 2 2" xfId="64" xr:uid="{00000000-0005-0000-0000-000070000000}"/>
    <cellStyle name="ปกติ 158 6 2 2 2 2 5 2 2 5" xfId="65" xr:uid="{00000000-0005-0000-0000-000071000000}"/>
    <cellStyle name="ปกติ 158 6 2 2 2 2 5 2 2 5 4 2" xfId="66" xr:uid="{00000000-0005-0000-0000-000072000000}"/>
    <cellStyle name="ปกติ 158 6 2 2 2 2 5 2 3 2" xfId="67" xr:uid="{00000000-0005-0000-0000-000073000000}"/>
    <cellStyle name="ปกติ 158 6 2 2 2 2 5 2 5 2" xfId="68" xr:uid="{00000000-0005-0000-0000-000074000000}"/>
    <cellStyle name="ปกติ 158 6 2 2 2 2 5 2 5 2 2" xfId="69" xr:uid="{00000000-0005-0000-0000-000075000000}"/>
    <cellStyle name="ปกติ 158 6 2 2 2 2 7 3 2 2 2 2 3" xfId="70" xr:uid="{00000000-0005-0000-0000-000076000000}"/>
    <cellStyle name="ปกติ 158 6 2 2 2 2 7 3 2 2 2 3" xfId="71" xr:uid="{00000000-0005-0000-0000-000077000000}"/>
    <cellStyle name="ปกติ 158 6 2 2 2 2 7 3 2 2 2 3 2 2 2 2 2" xfId="72" xr:uid="{00000000-0005-0000-0000-000078000000}"/>
    <cellStyle name="ปกติ 158 6 2 2 2 2 7 3 2 2 2 3 2 2 2 2 2 11 4" xfId="73" xr:uid="{00000000-0005-0000-0000-000079000000}"/>
    <cellStyle name="ปกติ 158 6 2 2 2 2 7 3 2 2 2 3 2 2 2 2 2 11 4 2" xfId="74" xr:uid="{00000000-0005-0000-0000-00007A000000}"/>
    <cellStyle name="ปกติ 158 6 2 2 2 2 7 3 2 2 2 3 2 2 2 2 2 11 4 2 2" xfId="75" xr:uid="{00000000-0005-0000-0000-00007B000000}"/>
    <cellStyle name="ปกติ 158 6 2 2 2 2 7 3 2 2 2 3 2 2 2 2 2 2 2 2" xfId="76" xr:uid="{00000000-0005-0000-0000-00007C000000}"/>
    <cellStyle name="ปกติ 158 6 2 2 2 2 7 3 2 2 2 3 2 2 2 2 2 2 2 2 2" xfId="77" xr:uid="{00000000-0005-0000-0000-00007D000000}"/>
    <cellStyle name="ปกติ 158 6 2 2 2 2 7 3 2 2 2 3 2 2 2 2 2 2 5" xfId="78" xr:uid="{00000000-0005-0000-0000-00007E000000}"/>
    <cellStyle name="ปกติ 158 6 2 2 2 2 7 3 2 2 2 3 2 2 2 2 2 2 5 2" xfId="79" xr:uid="{00000000-0005-0000-0000-00007F000000}"/>
    <cellStyle name="ปกติ 158 6 2 2 2 2 7 3 2 2 2 3 2 2 2 2 2 20" xfId="80" xr:uid="{00000000-0005-0000-0000-000080000000}"/>
    <cellStyle name="ปกติ 158 6 2 2 2 2 7 3 2 2 2 3 2 2 2 2 2 20 2" xfId="81" xr:uid="{00000000-0005-0000-0000-000081000000}"/>
    <cellStyle name="ปกติ 158 6 2 2 2 2 7 3 2 2 2 3 2 2 2 2 2 4" xfId="82" xr:uid="{00000000-0005-0000-0000-000082000000}"/>
    <cellStyle name="ปกติ 158 6 2 2 2 2 7 3 2 2 2 3 2 2 2 2 2 4 2" xfId="83" xr:uid="{00000000-0005-0000-0000-000083000000}"/>
    <cellStyle name="ปกติ 158 6 2 2 2 2 7 3 2 2 2 3 2 2 2 2 2 4 2 2" xfId="84" xr:uid="{00000000-0005-0000-0000-000084000000}"/>
    <cellStyle name="ปกติ 158 6 2 2 2 2 7 3 2 2 2 3 2 2 2 2 2 4 4 2 2" xfId="85" xr:uid="{00000000-0005-0000-0000-000085000000}"/>
    <cellStyle name="ปกติ 158 6 2 2 2 2 7 3 2 2 2 3 2 2 2 2 2 4 4 2 2 2" xfId="86" xr:uid="{00000000-0005-0000-0000-000086000000}"/>
    <cellStyle name="ปกติ 158 6 2 2 2 2 7 3 2 2 2 3 2 2 2 2 3 2 4" xfId="87" xr:uid="{00000000-0005-0000-0000-000087000000}"/>
    <cellStyle name="ปกติ 158 6 2 2 2 2 7 3 2 2 2 3 2 2 2 2 3 2 4 2" xfId="88" xr:uid="{00000000-0005-0000-0000-000088000000}"/>
    <cellStyle name="ปกติ 158 6 2 2 2 2 8 2 2 4 5 2 4" xfId="89" xr:uid="{00000000-0005-0000-0000-000089000000}"/>
    <cellStyle name="ปกติ 158 6 2 2 2 2 8 2 2 6 2 2 2 2 3 5" xfId="90" xr:uid="{00000000-0005-0000-0000-00008A000000}"/>
    <cellStyle name="ปกติ 158 6 2 2 2 2 8 2 2 6 2 2 2 8" xfId="91" xr:uid="{00000000-0005-0000-0000-00008B000000}"/>
    <cellStyle name="ปกติ 158 6 2 2 2 2 8 2 2 6 2 2 2 8 2" xfId="92" xr:uid="{00000000-0005-0000-0000-00008C000000}"/>
    <cellStyle name="ปกติ 158 6 2 2 2 2 8 2 2 6 2 3 3 3" xfId="93" xr:uid="{00000000-0005-0000-0000-00008D000000}"/>
    <cellStyle name="ปกติ 158 6 2 2 2 2 8 2 2 6 2 3 3 3 10" xfId="94" xr:uid="{00000000-0005-0000-0000-00008E000000}"/>
    <cellStyle name="ปกติ 158 6 2 2 2 2 8 2 2 6 2 3 3 3 10 2" xfId="95" xr:uid="{00000000-0005-0000-0000-00008F000000}"/>
    <cellStyle name="ปกติ 158 6 2 2 2 2 8 2 2 6 2 3 3 3 11 2" xfId="96" xr:uid="{00000000-0005-0000-0000-000090000000}"/>
    <cellStyle name="ปกติ 158 6 2 2 2 2 8 2 2 6 2 3 3 3 11 2 2" xfId="97" xr:uid="{00000000-0005-0000-0000-000091000000}"/>
    <cellStyle name="ปกติ 158 6 2 2 2 2 8 2 2 6 2 3 3 3 14" xfId="98" xr:uid="{00000000-0005-0000-0000-000092000000}"/>
    <cellStyle name="ปกติ 158 6 2 2 2 2 8 2 2 6 2 3 3 3 16 2 2" xfId="99" xr:uid="{00000000-0005-0000-0000-000093000000}"/>
    <cellStyle name="ปกติ 158 6 2 2 2 2 8 2 2 6 2 3 3 3 18 2 3" xfId="100" xr:uid="{00000000-0005-0000-0000-000094000000}"/>
    <cellStyle name="ปกติ 158 6 2 2 2 2 8 2 2 6 2 3 3 3 19" xfId="101" xr:uid="{00000000-0005-0000-0000-000095000000}"/>
    <cellStyle name="ปกติ 158 6 2 2 2 2 8 2 2 6 2 3 3 3 28" xfId="102" xr:uid="{00000000-0005-0000-0000-000096000000}"/>
    <cellStyle name="ปกติ 158 6 2 2 2 2 8 2 2 6 2 3 3 3 3 3" xfId="103" xr:uid="{00000000-0005-0000-0000-000097000000}"/>
    <cellStyle name="ปกติ 158 6 2 2 2 2 8 2 2 6 2 3 3 3 3 6" xfId="104" xr:uid="{00000000-0005-0000-0000-000098000000}"/>
    <cellStyle name="ปกติ 158 6 2 2 2 2 8 2 2 6 2 3 3 3 3 6 2" xfId="105" xr:uid="{00000000-0005-0000-0000-000099000000}"/>
    <cellStyle name="ปกติ 158 6 2 2 2 2 8 2 2 6 2 3 3 3 33" xfId="106" xr:uid="{00000000-0005-0000-0000-00009A000000}"/>
    <cellStyle name="ปกติ 158 6 2 2 2 2 8 2 2 6 2 3 3 3 33 2" xfId="107" xr:uid="{00000000-0005-0000-0000-00009B000000}"/>
    <cellStyle name="ปกติ 158 6 2 2 2 2 8 2 2 6 2 3 3 3 4" xfId="108" xr:uid="{00000000-0005-0000-0000-00009C000000}"/>
    <cellStyle name="ปกติ 158 6 2 2 2 2 8 2 2 6 2 3 3 3 4 2 2" xfId="109" xr:uid="{00000000-0005-0000-0000-00009D000000}"/>
    <cellStyle name="ปกติ 158 6 2 2 2 2 8 2 2 6 2 3 3 3 9 2 3 2" xfId="110" xr:uid="{00000000-0005-0000-0000-00009E000000}"/>
    <cellStyle name="ปกติ 158 6 2 2 2 2 8 2 2 6 2 3 3 3 9 2 3 2 2" xfId="111" xr:uid="{00000000-0005-0000-0000-00009F000000}"/>
    <cellStyle name="ปกติ 158 6 2 2 2 2 8 2 2 6 2 3 3 3 9 4 2" xfId="112" xr:uid="{00000000-0005-0000-0000-0000A0000000}"/>
    <cellStyle name="ปกติ 158 6 2 2 2 2 8 2 2 6 2 3 3 3 9 5 3" xfId="113" xr:uid="{00000000-0005-0000-0000-0000A1000000}"/>
    <cellStyle name="ปกติ 158 6 2 2 2 2 8 2 2 6 2 3 3 3 9 8" xfId="114" xr:uid="{00000000-0005-0000-0000-0000A2000000}"/>
    <cellStyle name="ปกติ 158 6 2 2 2 2 8 2 2 6 2 3 3 3 9 8 2" xfId="115" xr:uid="{00000000-0005-0000-0000-0000A3000000}"/>
    <cellStyle name="ปกติ 158 6 2 2 2 2 8 2 2 6 2 3 3 3 9 8 2 2" xfId="116" xr:uid="{00000000-0005-0000-0000-0000A4000000}"/>
    <cellStyle name="ปกติ 158 6 2 2 2 2 8 2 2 6 2 3 3 3 9 8 3" xfId="117" xr:uid="{00000000-0005-0000-0000-0000A5000000}"/>
    <cellStyle name="ปกติ 158 6 2 2 2 2 8 2 2 6 2 3 3 4 2 2 2 2 2 2" xfId="118" xr:uid="{00000000-0005-0000-0000-0000A6000000}"/>
    <cellStyle name="ปกติ 158 6 2 2 2 2 8 2 2 6 2 3 3 4 2 2 3 3 2 2" xfId="119" xr:uid="{00000000-0005-0000-0000-0000A7000000}"/>
    <cellStyle name="ปกติ 158 6 2 2 2 2 8 2 2 6 2 3 3 4 2 5 2 2 2 3 2 5 2" xfId="120" xr:uid="{00000000-0005-0000-0000-0000A8000000}"/>
    <cellStyle name="ปกติ 158 6 2 2 2 2 8 2 2 6 2 3 3 4 2 5 2 2 2 4" xfId="121" xr:uid="{00000000-0005-0000-0000-0000A9000000}"/>
    <cellStyle name="ปกติ 158 6 2 2 2 2 8 2 2 6 2 3 3 4 2 5 2 2 2 4 2 2" xfId="122" xr:uid="{00000000-0005-0000-0000-0000AA000000}"/>
    <cellStyle name="ปกติ 158 6 2 2 2 2 8 2 2 6 2 3 3 4 2 5 2 2 2 4 3 7 2 2" xfId="123" xr:uid="{00000000-0005-0000-0000-0000AB000000}"/>
    <cellStyle name="ปกติ 158 6 2 2 2 2 8 2 2 6 2 3 3 4 2 5 2 2 2 4 3 7 2 2 2" xfId="124" xr:uid="{00000000-0005-0000-0000-0000AC000000}"/>
    <cellStyle name="ปกติ 158 6 2 2 2 2 8 2 2 6 2 3 3 4 2 5 2 2 2 4 3 9 2" xfId="125" xr:uid="{00000000-0005-0000-0000-0000AD000000}"/>
    <cellStyle name="ปกติ 158 6 2 2 2 2 8 2 2 6 2 3 3 4 2 5 2 2 2 4 3 9 2 2" xfId="126" xr:uid="{00000000-0005-0000-0000-0000AE000000}"/>
    <cellStyle name="ปกติ 158 6 2 2 2 2 8 2 2 6 2 3 3 4 2 5 2 2 2 4 7" xfId="127" xr:uid="{00000000-0005-0000-0000-0000AF000000}"/>
    <cellStyle name="ปกติ 158 6 2 2 2 2 8 2 2 6 2 3 3 4 2 5 2 2 2 4 7 2" xfId="128" xr:uid="{00000000-0005-0000-0000-0000B0000000}"/>
    <cellStyle name="ปกติ 158 6 2 2 2 2 8 2 2 6 2 3 3 4 2 5 2 2 2 6" xfId="129" xr:uid="{00000000-0005-0000-0000-0000B1000000}"/>
    <cellStyle name="ปกติ 158 6 2 2 2 2 8 2 2 6 2 3 3 4 2 5 2 3 2 9" xfId="130" xr:uid="{00000000-0005-0000-0000-0000B2000000}"/>
    <cellStyle name="ปกติ 158 6 2 2 2 2 8 2 2 6 2 3 3 4 2 5 2 3 3 2 3" xfId="131" xr:uid="{00000000-0005-0000-0000-0000B3000000}"/>
    <cellStyle name="ปกติ 16 2 2" xfId="132" xr:uid="{00000000-0005-0000-0000-0000B4000000}"/>
    <cellStyle name="ปกติ 16 2 2 2" xfId="133" xr:uid="{00000000-0005-0000-0000-0000B5000000}"/>
    <cellStyle name="ปกติ 162" xfId="134" xr:uid="{00000000-0005-0000-0000-0000B6000000}"/>
    <cellStyle name="ปกติ 164 2 4 2" xfId="135" xr:uid="{00000000-0005-0000-0000-0000B7000000}"/>
    <cellStyle name="ปกติ 165" xfId="136" xr:uid="{00000000-0005-0000-0000-0000B8000000}"/>
    <cellStyle name="ปกติ 165 2" xfId="137" xr:uid="{00000000-0005-0000-0000-0000B9000000}"/>
    <cellStyle name="ปกติ 175" xfId="138" xr:uid="{00000000-0005-0000-0000-0000BA000000}"/>
    <cellStyle name="ปกติ 177 2 2" xfId="139" xr:uid="{00000000-0005-0000-0000-0000BB000000}"/>
    <cellStyle name="ปกติ 177 2 2 2" xfId="140" xr:uid="{00000000-0005-0000-0000-0000BC000000}"/>
    <cellStyle name="ปกติ 177 3 2" xfId="141" xr:uid="{00000000-0005-0000-0000-0000BD000000}"/>
    <cellStyle name="ปกติ 179" xfId="142" xr:uid="{00000000-0005-0000-0000-0000BE000000}"/>
    <cellStyle name="ปกติ 179 2" xfId="143" xr:uid="{00000000-0005-0000-0000-0000BF000000}"/>
    <cellStyle name="ปกติ 179 2 2" xfId="144" xr:uid="{00000000-0005-0000-0000-0000C0000000}"/>
    <cellStyle name="ปกติ 19" xfId="145" xr:uid="{00000000-0005-0000-0000-0000C1000000}"/>
    <cellStyle name="ปกติ 19 10 2" xfId="146" xr:uid="{00000000-0005-0000-0000-0000C2000000}"/>
    <cellStyle name="ปกติ 19 10 2 2" xfId="147" xr:uid="{00000000-0005-0000-0000-0000C3000000}"/>
    <cellStyle name="ปกติ 19 2" xfId="148" xr:uid="{00000000-0005-0000-0000-0000C4000000}"/>
    <cellStyle name="ปกติ 19 2 2" xfId="149" xr:uid="{00000000-0005-0000-0000-0000C5000000}"/>
    <cellStyle name="ปกติ 19 2 5" xfId="150" xr:uid="{00000000-0005-0000-0000-0000C6000000}"/>
    <cellStyle name="ปกติ 19 2 5 2" xfId="151" xr:uid="{00000000-0005-0000-0000-0000C7000000}"/>
    <cellStyle name="ปกติ 19 6 3" xfId="152" xr:uid="{00000000-0005-0000-0000-0000C8000000}"/>
    <cellStyle name="ปกติ 2" xfId="153" xr:uid="{00000000-0005-0000-0000-0000C9000000}"/>
    <cellStyle name="ปกติ 2 12" xfId="154" xr:uid="{00000000-0005-0000-0000-0000CA000000}"/>
    <cellStyle name="ปกติ 2 2" xfId="155" xr:uid="{00000000-0005-0000-0000-0000CB000000}"/>
    <cellStyle name="ปกติ 2 3" xfId="156" xr:uid="{00000000-0005-0000-0000-0000CC000000}"/>
    <cellStyle name="ปกติ 2 4" xfId="157" xr:uid="{00000000-0005-0000-0000-0000CD000000}"/>
    <cellStyle name="ปกติ 2 4 2" xfId="158" xr:uid="{00000000-0005-0000-0000-0000CE000000}"/>
    <cellStyle name="ปกติ 201" xfId="159" xr:uid="{00000000-0005-0000-0000-0000CF000000}"/>
    <cellStyle name="ปกติ 206" xfId="160" xr:uid="{00000000-0005-0000-0000-0000D0000000}"/>
    <cellStyle name="ปกติ 217" xfId="161" xr:uid="{00000000-0005-0000-0000-0000D1000000}"/>
    <cellStyle name="ปกติ 218" xfId="162" xr:uid="{00000000-0005-0000-0000-0000D2000000}"/>
    <cellStyle name="ปกติ 219" xfId="163" xr:uid="{00000000-0005-0000-0000-0000D3000000}"/>
    <cellStyle name="ปกติ 232" xfId="164" xr:uid="{00000000-0005-0000-0000-0000D4000000}"/>
    <cellStyle name="ปกติ 232 2" xfId="165" xr:uid="{00000000-0005-0000-0000-0000D5000000}"/>
    <cellStyle name="ปกติ 26" xfId="166" xr:uid="{00000000-0005-0000-0000-0000D6000000}"/>
    <cellStyle name="ปกติ 3" xfId="167" xr:uid="{00000000-0005-0000-0000-0000D7000000}"/>
    <cellStyle name="ปกติ 3 2" xfId="168" xr:uid="{00000000-0005-0000-0000-0000D8000000}"/>
    <cellStyle name="ปกติ 3 2 2" xfId="169" xr:uid="{00000000-0005-0000-0000-0000D9000000}"/>
    <cellStyle name="ปกติ 33" xfId="170" xr:uid="{00000000-0005-0000-0000-0000DA000000}"/>
    <cellStyle name="ปกติ 35" xfId="171" xr:uid="{00000000-0005-0000-0000-0000DB000000}"/>
    <cellStyle name="ปกติ 4" xfId="172" xr:uid="{00000000-0005-0000-0000-0000DC000000}"/>
    <cellStyle name="ปกติ 4 3 2 4 2" xfId="173" xr:uid="{00000000-0005-0000-0000-0000DD000000}"/>
    <cellStyle name="ปกติ 4 3 2 4 2 2" xfId="174" xr:uid="{00000000-0005-0000-0000-0000DE000000}"/>
    <cellStyle name="ปกติ 42" xfId="175" xr:uid="{00000000-0005-0000-0000-0000DF000000}"/>
    <cellStyle name="ปกติ 45 3 2" xfId="176" xr:uid="{00000000-0005-0000-0000-0000E0000000}"/>
    <cellStyle name="ปกติ 45 3 2 2" xfId="177" xr:uid="{00000000-0005-0000-0000-0000E1000000}"/>
    <cellStyle name="ปกติ 47" xfId="178" xr:uid="{00000000-0005-0000-0000-0000E2000000}"/>
    <cellStyle name="ปกติ 48 16" xfId="179" xr:uid="{00000000-0005-0000-0000-0000E3000000}"/>
    <cellStyle name="ปกติ 49 2" xfId="180" xr:uid="{00000000-0005-0000-0000-0000E4000000}"/>
    <cellStyle name="ปกติ 49 3 9" xfId="181" xr:uid="{00000000-0005-0000-0000-0000E5000000}"/>
    <cellStyle name="ปกติ 5" xfId="182" xr:uid="{00000000-0005-0000-0000-0000E6000000}"/>
    <cellStyle name="ปกติ 50 17 3 2 2" xfId="183" xr:uid="{00000000-0005-0000-0000-0000E7000000}"/>
    <cellStyle name="ปกติ 55" xfId="184" xr:uid="{00000000-0005-0000-0000-0000E8000000}"/>
    <cellStyle name="ปกติ 6" xfId="185" xr:uid="{00000000-0005-0000-0000-0000E9000000}"/>
    <cellStyle name="ปกติ 63" xfId="186" xr:uid="{00000000-0005-0000-0000-0000EA000000}"/>
    <cellStyle name="ปกติ 69 4" xfId="187" xr:uid="{00000000-0005-0000-0000-0000EB000000}"/>
    <cellStyle name="ปกติ 69 4 2" xfId="188" xr:uid="{00000000-0005-0000-0000-0000EC000000}"/>
    <cellStyle name="ปกติ 7" xfId="189" xr:uid="{00000000-0005-0000-0000-0000ED000000}"/>
    <cellStyle name="ปกติ 7 2" xfId="190" xr:uid="{00000000-0005-0000-0000-0000EE000000}"/>
    <cellStyle name="ปกติ 72" xfId="191" xr:uid="{00000000-0005-0000-0000-0000EF000000}"/>
    <cellStyle name="ปกติ 77" xfId="192" xr:uid="{00000000-0005-0000-0000-0000F0000000}"/>
    <cellStyle name="ปกติ 77 2" xfId="193" xr:uid="{00000000-0005-0000-0000-0000F1000000}"/>
    <cellStyle name="ปกติ 8" xfId="194" xr:uid="{00000000-0005-0000-0000-0000F2000000}"/>
    <cellStyle name="ปกติ 87" xfId="195" xr:uid="{00000000-0005-0000-0000-0000F3000000}"/>
    <cellStyle name="ปกติ 94" xfId="196" xr:uid="{00000000-0005-0000-0000-0000F4000000}"/>
    <cellStyle name="ปกติ 99" xfId="197" xr:uid="{00000000-0005-0000-0000-0000F5000000}"/>
    <cellStyle name="常规 2" xfId="198" xr:uid="{00000000-0005-0000-0000-0000F6000000}"/>
    <cellStyle name="常规 2 2" xfId="199" xr:uid="{00000000-0005-0000-0000-0000F7000000}"/>
  </cellStyles>
  <dxfs count="0"/>
  <tableStyles count="0" defaultTableStyle="TableStyleMedium2" defaultPivotStyle="PivotStyleLight16"/>
  <colors>
    <mruColors>
      <color rgb="FFFFFF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UV192"/>
  <sheetViews>
    <sheetView zoomScale="115" zoomScaleNormal="115" workbookViewId="0">
      <selection activeCell="K193" sqref="K193"/>
    </sheetView>
  </sheetViews>
  <sheetFormatPr defaultColWidth="8.75" defaultRowHeight="12"/>
  <cols>
    <col min="1" max="1" width="4.125" style="53" customWidth="1"/>
    <col min="2" max="2" width="13.75" style="53" customWidth="1"/>
    <col min="3" max="3" width="27.5" style="54" customWidth="1"/>
    <col min="4" max="4" width="10.375" style="53" customWidth="1"/>
    <col min="5" max="5" width="34.875" style="53" customWidth="1"/>
    <col min="6" max="6" width="23.5" style="53" customWidth="1"/>
    <col min="7" max="7" width="14.375" style="53" customWidth="1"/>
    <col min="8" max="8" width="5.125" style="55" customWidth="1"/>
    <col min="9" max="9" width="4.625" style="55" customWidth="1"/>
    <col min="10" max="10" width="9" style="56" customWidth="1"/>
    <col min="11" max="11" width="9.5" style="56" customWidth="1"/>
    <col min="12" max="12" width="8" style="55" customWidth="1"/>
    <col min="13" max="13" width="9.875" style="55" customWidth="1"/>
    <col min="14" max="14" width="8.75" style="55" customWidth="1"/>
    <col min="15" max="165" width="8.75" style="53" customWidth="1"/>
    <col min="166" max="197" width="9" style="53" customWidth="1"/>
    <col min="198" max="239" width="8.75" style="53"/>
    <col min="240" max="240" width="3.125" style="53" customWidth="1"/>
    <col min="241" max="241" width="11.125" style="53" customWidth="1"/>
    <col min="242" max="244" width="8.75" style="53" hidden="1" customWidth="1"/>
    <col min="245" max="245" width="30.875" style="53" customWidth="1"/>
    <col min="246" max="246" width="20.75" style="53" customWidth="1"/>
    <col min="247" max="247" width="4" style="53" customWidth="1"/>
    <col min="248" max="248" width="4.625" style="53" customWidth="1"/>
    <col min="249" max="249" width="5.375" style="53" customWidth="1"/>
    <col min="250" max="252" width="7.125" style="53" customWidth="1"/>
    <col min="253" max="261" width="9" style="53" customWidth="1"/>
    <col min="262" max="421" width="8.75" style="53"/>
    <col min="422" max="453" width="9" style="53" customWidth="1"/>
    <col min="454" max="495" width="8.75" style="53"/>
    <col min="496" max="496" width="3.125" style="53" customWidth="1"/>
    <col min="497" max="497" width="11.125" style="53" customWidth="1"/>
    <col min="498" max="500" width="8.75" style="53" hidden="1" customWidth="1"/>
    <col min="501" max="501" width="30.875" style="53" customWidth="1"/>
    <col min="502" max="502" width="20.75" style="53" customWidth="1"/>
    <col min="503" max="503" width="4" style="53" customWidth="1"/>
    <col min="504" max="504" width="4.625" style="53" customWidth="1"/>
    <col min="505" max="505" width="5.375" style="53" customWidth="1"/>
    <col min="506" max="508" width="7.125" style="53" customWidth="1"/>
    <col min="509" max="517" width="9" style="53" customWidth="1"/>
    <col min="518" max="677" width="8.75" style="53"/>
    <col min="678" max="709" width="9" style="53" customWidth="1"/>
    <col min="710" max="751" width="8.75" style="53"/>
    <col min="752" max="752" width="3.125" style="53" customWidth="1"/>
    <col min="753" max="753" width="11.125" style="53" customWidth="1"/>
    <col min="754" max="756" width="8.75" style="53" hidden="1" customWidth="1"/>
    <col min="757" max="757" width="30.875" style="53" customWidth="1"/>
    <col min="758" max="758" width="20.75" style="53" customWidth="1"/>
    <col min="759" max="759" width="4" style="53" customWidth="1"/>
    <col min="760" max="760" width="4.625" style="53" customWidth="1"/>
    <col min="761" max="761" width="5.375" style="53" customWidth="1"/>
    <col min="762" max="764" width="7.125" style="53" customWidth="1"/>
    <col min="765" max="773" width="9" style="53" customWidth="1"/>
    <col min="774" max="933" width="8.75" style="53"/>
    <col min="934" max="965" width="9" style="53" customWidth="1"/>
    <col min="966" max="1007" width="8.75" style="53"/>
    <col min="1008" max="1008" width="3.125" style="53" customWidth="1"/>
    <col min="1009" max="1009" width="11.125" style="53" customWidth="1"/>
    <col min="1010" max="1012" width="8.75" style="53" hidden="1" customWidth="1"/>
    <col min="1013" max="1013" width="30.875" style="53" customWidth="1"/>
    <col min="1014" max="1014" width="20.75" style="53" customWidth="1"/>
    <col min="1015" max="1015" width="4" style="53" customWidth="1"/>
    <col min="1016" max="1016" width="4.625" style="53" customWidth="1"/>
    <col min="1017" max="1017" width="5.375" style="53" customWidth="1"/>
    <col min="1018" max="1020" width="7.125" style="53" customWidth="1"/>
    <col min="1021" max="1029" width="9" style="53" customWidth="1"/>
    <col min="1030" max="1189" width="8.75" style="53"/>
    <col min="1190" max="1221" width="9" style="53" customWidth="1"/>
    <col min="1222" max="1263" width="8.75" style="53"/>
    <col min="1264" max="1264" width="3.125" style="53" customWidth="1"/>
    <col min="1265" max="1265" width="11.125" style="53" customWidth="1"/>
    <col min="1266" max="1268" width="8.75" style="53" hidden="1" customWidth="1"/>
    <col min="1269" max="1269" width="30.875" style="53" customWidth="1"/>
    <col min="1270" max="1270" width="20.75" style="53" customWidth="1"/>
    <col min="1271" max="1271" width="4" style="53" customWidth="1"/>
    <col min="1272" max="1272" width="4.625" style="53" customWidth="1"/>
    <col min="1273" max="1273" width="5.375" style="53" customWidth="1"/>
    <col min="1274" max="1276" width="7.125" style="53" customWidth="1"/>
    <col min="1277" max="1285" width="9" style="53" customWidth="1"/>
    <col min="1286" max="1445" width="8.75" style="53"/>
    <col min="1446" max="1477" width="9" style="53" customWidth="1"/>
    <col min="1478" max="1519" width="8.75" style="53"/>
    <col min="1520" max="1520" width="3.125" style="53" customWidth="1"/>
    <col min="1521" max="1521" width="11.125" style="53" customWidth="1"/>
    <col min="1522" max="1524" width="8.75" style="53" hidden="1" customWidth="1"/>
    <col min="1525" max="1525" width="30.875" style="53" customWidth="1"/>
    <col min="1526" max="1526" width="20.75" style="53" customWidth="1"/>
    <col min="1527" max="1527" width="4" style="53" customWidth="1"/>
    <col min="1528" max="1528" width="4.625" style="53" customWidth="1"/>
    <col min="1529" max="1529" width="5.375" style="53" customWidth="1"/>
    <col min="1530" max="1532" width="7.125" style="53" customWidth="1"/>
    <col min="1533" max="1541" width="9" style="53" customWidth="1"/>
    <col min="1542" max="1701" width="8.75" style="53"/>
    <col min="1702" max="1733" width="9" style="53" customWidth="1"/>
    <col min="1734" max="1775" width="8.75" style="53"/>
    <col min="1776" max="1776" width="3.125" style="53" customWidth="1"/>
    <col min="1777" max="1777" width="11.125" style="53" customWidth="1"/>
    <col min="1778" max="1780" width="8.75" style="53" hidden="1" customWidth="1"/>
    <col min="1781" max="1781" width="30.875" style="53" customWidth="1"/>
    <col min="1782" max="1782" width="20.75" style="53" customWidth="1"/>
    <col min="1783" max="1783" width="4" style="53" customWidth="1"/>
    <col min="1784" max="1784" width="4.625" style="53" customWidth="1"/>
    <col min="1785" max="1785" width="5.375" style="53" customWidth="1"/>
    <col min="1786" max="1788" width="7.125" style="53" customWidth="1"/>
    <col min="1789" max="1797" width="9" style="53" customWidth="1"/>
    <col min="1798" max="1957" width="8.75" style="53"/>
    <col min="1958" max="1989" width="9" style="53" customWidth="1"/>
    <col min="1990" max="2031" width="8.75" style="53"/>
    <col min="2032" max="2032" width="3.125" style="53" customWidth="1"/>
    <col min="2033" max="2033" width="11.125" style="53" customWidth="1"/>
    <col min="2034" max="2036" width="8.75" style="53" hidden="1" customWidth="1"/>
    <col min="2037" max="2037" width="30.875" style="53" customWidth="1"/>
    <col min="2038" max="2038" width="20.75" style="53" customWidth="1"/>
    <col min="2039" max="2039" width="4" style="53" customWidth="1"/>
    <col min="2040" max="2040" width="4.625" style="53" customWidth="1"/>
    <col min="2041" max="2041" width="5.375" style="53" customWidth="1"/>
    <col min="2042" max="2044" width="7.125" style="53" customWidth="1"/>
    <col min="2045" max="2053" width="9" style="53" customWidth="1"/>
    <col min="2054" max="2213" width="8.75" style="53"/>
    <col min="2214" max="2245" width="9" style="53" customWidth="1"/>
    <col min="2246" max="2287" width="8.75" style="53"/>
    <col min="2288" max="2288" width="3.125" style="53" customWidth="1"/>
    <col min="2289" max="2289" width="11.125" style="53" customWidth="1"/>
    <col min="2290" max="2292" width="8.75" style="53" hidden="1" customWidth="1"/>
    <col min="2293" max="2293" width="30.875" style="53" customWidth="1"/>
    <col min="2294" max="2294" width="20.75" style="53" customWidth="1"/>
    <col min="2295" max="2295" width="4" style="53" customWidth="1"/>
    <col min="2296" max="2296" width="4.625" style="53" customWidth="1"/>
    <col min="2297" max="2297" width="5.375" style="53" customWidth="1"/>
    <col min="2298" max="2300" width="7.125" style="53" customWidth="1"/>
    <col min="2301" max="2309" width="9" style="53" customWidth="1"/>
    <col min="2310" max="2469" width="8.75" style="53"/>
    <col min="2470" max="2501" width="9" style="53" customWidth="1"/>
    <col min="2502" max="2543" width="8.75" style="53"/>
    <col min="2544" max="2544" width="3.125" style="53" customWidth="1"/>
    <col min="2545" max="2545" width="11.125" style="53" customWidth="1"/>
    <col min="2546" max="2548" width="8.75" style="53" hidden="1" customWidth="1"/>
    <col min="2549" max="2549" width="30.875" style="53" customWidth="1"/>
    <col min="2550" max="2550" width="20.75" style="53" customWidth="1"/>
    <col min="2551" max="2551" width="4" style="53" customWidth="1"/>
    <col min="2552" max="2552" width="4.625" style="53" customWidth="1"/>
    <col min="2553" max="2553" width="5.375" style="53" customWidth="1"/>
    <col min="2554" max="2556" width="7.125" style="53" customWidth="1"/>
    <col min="2557" max="2565" width="9" style="53" customWidth="1"/>
    <col min="2566" max="2725" width="8.75" style="53"/>
    <col min="2726" max="2757" width="9" style="53" customWidth="1"/>
    <col min="2758" max="2799" width="8.75" style="53"/>
    <col min="2800" max="2800" width="3.125" style="53" customWidth="1"/>
    <col min="2801" max="2801" width="11.125" style="53" customWidth="1"/>
    <col min="2802" max="2804" width="8.75" style="53" hidden="1" customWidth="1"/>
    <col min="2805" max="2805" width="30.875" style="53" customWidth="1"/>
    <col min="2806" max="2806" width="20.75" style="53" customWidth="1"/>
    <col min="2807" max="2807" width="4" style="53" customWidth="1"/>
    <col min="2808" max="2808" width="4.625" style="53" customWidth="1"/>
    <col min="2809" max="2809" width="5.375" style="53" customWidth="1"/>
    <col min="2810" max="2812" width="7.125" style="53" customWidth="1"/>
    <col min="2813" max="2821" width="9" style="53" customWidth="1"/>
    <col min="2822" max="2981" width="8.75" style="53"/>
    <col min="2982" max="3013" width="9" style="53" customWidth="1"/>
    <col min="3014" max="3055" width="8.75" style="53"/>
    <col min="3056" max="3056" width="3.125" style="53" customWidth="1"/>
    <col min="3057" max="3057" width="11.125" style="53" customWidth="1"/>
    <col min="3058" max="3060" width="8.75" style="53" hidden="1" customWidth="1"/>
    <col min="3061" max="3061" width="30.875" style="53" customWidth="1"/>
    <col min="3062" max="3062" width="20.75" style="53" customWidth="1"/>
    <col min="3063" max="3063" width="4" style="53" customWidth="1"/>
    <col min="3064" max="3064" width="4.625" style="53" customWidth="1"/>
    <col min="3065" max="3065" width="5.375" style="53" customWidth="1"/>
    <col min="3066" max="3068" width="7.125" style="53" customWidth="1"/>
    <col min="3069" max="3077" width="9" style="53" customWidth="1"/>
    <col min="3078" max="3237" width="8.75" style="53"/>
    <col min="3238" max="3269" width="9" style="53" customWidth="1"/>
    <col min="3270" max="3311" width="8.75" style="53"/>
    <col min="3312" max="3312" width="3.125" style="53" customWidth="1"/>
    <col min="3313" max="3313" width="11.125" style="53" customWidth="1"/>
    <col min="3314" max="3316" width="8.75" style="53" hidden="1" customWidth="1"/>
    <col min="3317" max="3317" width="30.875" style="53" customWidth="1"/>
    <col min="3318" max="3318" width="20.75" style="53" customWidth="1"/>
    <col min="3319" max="3319" width="4" style="53" customWidth="1"/>
    <col min="3320" max="3320" width="4.625" style="53" customWidth="1"/>
    <col min="3321" max="3321" width="5.375" style="53" customWidth="1"/>
    <col min="3322" max="3324" width="7.125" style="53" customWidth="1"/>
    <col min="3325" max="3333" width="9" style="53" customWidth="1"/>
    <col min="3334" max="3493" width="8.75" style="53"/>
    <col min="3494" max="3525" width="9" style="53" customWidth="1"/>
    <col min="3526" max="3567" width="8.75" style="53"/>
    <col min="3568" max="3568" width="3.125" style="53" customWidth="1"/>
    <col min="3569" max="3569" width="11.125" style="53" customWidth="1"/>
    <col min="3570" max="3572" width="8.75" style="53" hidden="1" customWidth="1"/>
    <col min="3573" max="3573" width="30.875" style="53" customWidth="1"/>
    <col min="3574" max="3574" width="20.75" style="53" customWidth="1"/>
    <col min="3575" max="3575" width="4" style="53" customWidth="1"/>
    <col min="3576" max="3576" width="4.625" style="53" customWidth="1"/>
    <col min="3577" max="3577" width="5.375" style="53" customWidth="1"/>
    <col min="3578" max="3580" width="7.125" style="53" customWidth="1"/>
    <col min="3581" max="3589" width="9" style="53" customWidth="1"/>
    <col min="3590" max="3749" width="8.75" style="53"/>
    <col min="3750" max="3781" width="9" style="53" customWidth="1"/>
    <col min="3782" max="3823" width="8.75" style="53"/>
    <col min="3824" max="3824" width="3.125" style="53" customWidth="1"/>
    <col min="3825" max="3825" width="11.125" style="53" customWidth="1"/>
    <col min="3826" max="3828" width="8.75" style="53" hidden="1" customWidth="1"/>
    <col min="3829" max="3829" width="30.875" style="53" customWidth="1"/>
    <col min="3830" max="3830" width="20.75" style="53" customWidth="1"/>
    <col min="3831" max="3831" width="4" style="53" customWidth="1"/>
    <col min="3832" max="3832" width="4.625" style="53" customWidth="1"/>
    <col min="3833" max="3833" width="5.375" style="53" customWidth="1"/>
    <col min="3834" max="3836" width="7.125" style="53" customWidth="1"/>
    <col min="3837" max="3845" width="9" style="53" customWidth="1"/>
    <col min="3846" max="4005" width="8.75" style="53"/>
    <col min="4006" max="4037" width="9" style="53" customWidth="1"/>
    <col min="4038" max="4079" width="8.75" style="53"/>
    <col min="4080" max="4080" width="3.125" style="53" customWidth="1"/>
    <col min="4081" max="4081" width="11.125" style="53" customWidth="1"/>
    <col min="4082" max="4084" width="8.75" style="53" hidden="1" customWidth="1"/>
    <col min="4085" max="4085" width="30.875" style="53" customWidth="1"/>
    <col min="4086" max="4086" width="20.75" style="53" customWidth="1"/>
    <col min="4087" max="4087" width="4" style="53" customWidth="1"/>
    <col min="4088" max="4088" width="4.625" style="53" customWidth="1"/>
    <col min="4089" max="4089" width="5.375" style="53" customWidth="1"/>
    <col min="4090" max="4092" width="7.125" style="53" customWidth="1"/>
    <col min="4093" max="4101" width="9" style="53" customWidth="1"/>
    <col min="4102" max="4261" width="8.75" style="53"/>
    <col min="4262" max="4293" width="9" style="53" customWidth="1"/>
    <col min="4294" max="4335" width="8.75" style="53"/>
    <col min="4336" max="4336" width="3.125" style="53" customWidth="1"/>
    <col min="4337" max="4337" width="11.125" style="53" customWidth="1"/>
    <col min="4338" max="4340" width="8.75" style="53" hidden="1" customWidth="1"/>
    <col min="4341" max="4341" width="30.875" style="53" customWidth="1"/>
    <col min="4342" max="4342" width="20.75" style="53" customWidth="1"/>
    <col min="4343" max="4343" width="4" style="53" customWidth="1"/>
    <col min="4344" max="4344" width="4.625" style="53" customWidth="1"/>
    <col min="4345" max="4345" width="5.375" style="53" customWidth="1"/>
    <col min="4346" max="4348" width="7.125" style="53" customWidth="1"/>
    <col min="4349" max="4357" width="9" style="53" customWidth="1"/>
    <col min="4358" max="4517" width="8.75" style="53"/>
    <col min="4518" max="4549" width="9" style="53" customWidth="1"/>
    <col min="4550" max="4591" width="8.75" style="53"/>
    <col min="4592" max="4592" width="3.125" style="53" customWidth="1"/>
    <col min="4593" max="4593" width="11.125" style="53" customWidth="1"/>
    <col min="4594" max="4596" width="8.75" style="53" hidden="1" customWidth="1"/>
    <col min="4597" max="4597" width="30.875" style="53" customWidth="1"/>
    <col min="4598" max="4598" width="20.75" style="53" customWidth="1"/>
    <col min="4599" max="4599" width="4" style="53" customWidth="1"/>
    <col min="4600" max="4600" width="4.625" style="53" customWidth="1"/>
    <col min="4601" max="4601" width="5.375" style="53" customWidth="1"/>
    <col min="4602" max="4604" width="7.125" style="53" customWidth="1"/>
    <col min="4605" max="4613" width="9" style="53" customWidth="1"/>
    <col min="4614" max="4773" width="8.75" style="53"/>
    <col min="4774" max="4805" width="9" style="53" customWidth="1"/>
    <col min="4806" max="4847" width="8.75" style="53"/>
    <col min="4848" max="4848" width="3.125" style="53" customWidth="1"/>
    <col min="4849" max="4849" width="11.125" style="53" customWidth="1"/>
    <col min="4850" max="4852" width="8.75" style="53" hidden="1" customWidth="1"/>
    <col min="4853" max="4853" width="30.875" style="53" customWidth="1"/>
    <col min="4854" max="4854" width="20.75" style="53" customWidth="1"/>
    <col min="4855" max="4855" width="4" style="53" customWidth="1"/>
    <col min="4856" max="4856" width="4.625" style="53" customWidth="1"/>
    <col min="4857" max="4857" width="5.375" style="53" customWidth="1"/>
    <col min="4858" max="4860" width="7.125" style="53" customWidth="1"/>
    <col min="4861" max="4869" width="9" style="53" customWidth="1"/>
    <col min="4870" max="5029" width="8.75" style="53"/>
    <col min="5030" max="5061" width="9" style="53" customWidth="1"/>
    <col min="5062" max="5103" width="8.75" style="53"/>
    <col min="5104" max="5104" width="3.125" style="53" customWidth="1"/>
    <col min="5105" max="5105" width="11.125" style="53" customWidth="1"/>
    <col min="5106" max="5108" width="8.75" style="53" hidden="1" customWidth="1"/>
    <col min="5109" max="5109" width="30.875" style="53" customWidth="1"/>
    <col min="5110" max="5110" width="20.75" style="53" customWidth="1"/>
    <col min="5111" max="5111" width="4" style="53" customWidth="1"/>
    <col min="5112" max="5112" width="4.625" style="53" customWidth="1"/>
    <col min="5113" max="5113" width="5.375" style="53" customWidth="1"/>
    <col min="5114" max="5116" width="7.125" style="53" customWidth="1"/>
    <col min="5117" max="5125" width="9" style="53" customWidth="1"/>
    <col min="5126" max="5285" width="8.75" style="53"/>
    <col min="5286" max="5317" width="9" style="53" customWidth="1"/>
    <col min="5318" max="5359" width="8.75" style="53"/>
    <col min="5360" max="5360" width="3.125" style="53" customWidth="1"/>
    <col min="5361" max="5361" width="11.125" style="53" customWidth="1"/>
    <col min="5362" max="5364" width="8.75" style="53" hidden="1" customWidth="1"/>
    <col min="5365" max="5365" width="30.875" style="53" customWidth="1"/>
    <col min="5366" max="5366" width="20.75" style="53" customWidth="1"/>
    <col min="5367" max="5367" width="4" style="53" customWidth="1"/>
    <col min="5368" max="5368" width="4.625" style="53" customWidth="1"/>
    <col min="5369" max="5369" width="5.375" style="53" customWidth="1"/>
    <col min="5370" max="5372" width="7.125" style="53" customWidth="1"/>
    <col min="5373" max="5381" width="9" style="53" customWidth="1"/>
    <col min="5382" max="5541" width="8.75" style="53"/>
    <col min="5542" max="5573" width="9" style="53" customWidth="1"/>
    <col min="5574" max="5615" width="8.75" style="53"/>
    <col min="5616" max="5616" width="3.125" style="53" customWidth="1"/>
    <col min="5617" max="5617" width="11.125" style="53" customWidth="1"/>
    <col min="5618" max="5620" width="8.75" style="53" hidden="1" customWidth="1"/>
    <col min="5621" max="5621" width="30.875" style="53" customWidth="1"/>
    <col min="5622" max="5622" width="20.75" style="53" customWidth="1"/>
    <col min="5623" max="5623" width="4" style="53" customWidth="1"/>
    <col min="5624" max="5624" width="4.625" style="53" customWidth="1"/>
    <col min="5625" max="5625" width="5.375" style="53" customWidth="1"/>
    <col min="5626" max="5628" width="7.125" style="53" customWidth="1"/>
    <col min="5629" max="5637" width="9" style="53" customWidth="1"/>
    <col min="5638" max="5797" width="8.75" style="53"/>
    <col min="5798" max="5829" width="9" style="53" customWidth="1"/>
    <col min="5830" max="5871" width="8.75" style="53"/>
    <col min="5872" max="5872" width="3.125" style="53" customWidth="1"/>
    <col min="5873" max="5873" width="11.125" style="53" customWidth="1"/>
    <col min="5874" max="5876" width="8.75" style="53" hidden="1" customWidth="1"/>
    <col min="5877" max="5877" width="30.875" style="53" customWidth="1"/>
    <col min="5878" max="5878" width="20.75" style="53" customWidth="1"/>
    <col min="5879" max="5879" width="4" style="53" customWidth="1"/>
    <col min="5880" max="5880" width="4.625" style="53" customWidth="1"/>
    <col min="5881" max="5881" width="5.375" style="53" customWidth="1"/>
    <col min="5882" max="5884" width="7.125" style="53" customWidth="1"/>
    <col min="5885" max="5893" width="9" style="53" customWidth="1"/>
    <col min="5894" max="6053" width="8.75" style="53"/>
    <col min="6054" max="6085" width="9" style="53" customWidth="1"/>
    <col min="6086" max="6127" width="8.75" style="53"/>
    <col min="6128" max="6128" width="3.125" style="53" customWidth="1"/>
    <col min="6129" max="6129" width="11.125" style="53" customWidth="1"/>
    <col min="6130" max="6132" width="8.75" style="53" hidden="1" customWidth="1"/>
    <col min="6133" max="6133" width="30.875" style="53" customWidth="1"/>
    <col min="6134" max="6134" width="20.75" style="53" customWidth="1"/>
    <col min="6135" max="6135" width="4" style="53" customWidth="1"/>
    <col min="6136" max="6136" width="4.625" style="53" customWidth="1"/>
    <col min="6137" max="6137" width="5.375" style="53" customWidth="1"/>
    <col min="6138" max="6140" width="7.125" style="53" customWidth="1"/>
    <col min="6141" max="6149" width="9" style="53" customWidth="1"/>
    <col min="6150" max="6309" width="8.75" style="53"/>
    <col min="6310" max="6341" width="9" style="53" customWidth="1"/>
    <col min="6342" max="6383" width="8.75" style="53"/>
    <col min="6384" max="6384" width="3.125" style="53" customWidth="1"/>
    <col min="6385" max="6385" width="11.125" style="53" customWidth="1"/>
    <col min="6386" max="6388" width="8.75" style="53" hidden="1" customWidth="1"/>
    <col min="6389" max="6389" width="30.875" style="53" customWidth="1"/>
    <col min="6390" max="6390" width="20.75" style="53" customWidth="1"/>
    <col min="6391" max="6391" width="4" style="53" customWidth="1"/>
    <col min="6392" max="6392" width="4.625" style="53" customWidth="1"/>
    <col min="6393" max="6393" width="5.375" style="53" customWidth="1"/>
    <col min="6394" max="6396" width="7.125" style="53" customWidth="1"/>
    <col min="6397" max="6405" width="9" style="53" customWidth="1"/>
    <col min="6406" max="6565" width="8.75" style="53"/>
    <col min="6566" max="6597" width="9" style="53" customWidth="1"/>
    <col min="6598" max="6639" width="8.75" style="53"/>
    <col min="6640" max="6640" width="3.125" style="53" customWidth="1"/>
    <col min="6641" max="6641" width="11.125" style="53" customWidth="1"/>
    <col min="6642" max="6644" width="8.75" style="53" hidden="1" customWidth="1"/>
    <col min="6645" max="6645" width="30.875" style="53" customWidth="1"/>
    <col min="6646" max="6646" width="20.75" style="53" customWidth="1"/>
    <col min="6647" max="6647" width="4" style="53" customWidth="1"/>
    <col min="6648" max="6648" width="4.625" style="53" customWidth="1"/>
    <col min="6649" max="6649" width="5.375" style="53" customWidth="1"/>
    <col min="6650" max="6652" width="7.125" style="53" customWidth="1"/>
    <col min="6653" max="6661" width="9" style="53" customWidth="1"/>
    <col min="6662" max="6821" width="8.75" style="53"/>
    <col min="6822" max="6853" width="9" style="53" customWidth="1"/>
    <col min="6854" max="6895" width="8.75" style="53"/>
    <col min="6896" max="6896" width="3.125" style="53" customWidth="1"/>
    <col min="6897" max="6897" width="11.125" style="53" customWidth="1"/>
    <col min="6898" max="6900" width="8.75" style="53" hidden="1" customWidth="1"/>
    <col min="6901" max="6901" width="30.875" style="53" customWidth="1"/>
    <col min="6902" max="6902" width="20.75" style="53" customWidth="1"/>
    <col min="6903" max="6903" width="4" style="53" customWidth="1"/>
    <col min="6904" max="6904" width="4.625" style="53" customWidth="1"/>
    <col min="6905" max="6905" width="5.375" style="53" customWidth="1"/>
    <col min="6906" max="6908" width="7.125" style="53" customWidth="1"/>
    <col min="6909" max="6917" width="9" style="53" customWidth="1"/>
    <col min="6918" max="7077" width="8.75" style="53"/>
    <col min="7078" max="7109" width="9" style="53" customWidth="1"/>
    <col min="7110" max="7151" width="8.75" style="53"/>
    <col min="7152" max="7152" width="3.125" style="53" customWidth="1"/>
    <col min="7153" max="7153" width="11.125" style="53" customWidth="1"/>
    <col min="7154" max="7156" width="8.75" style="53" hidden="1" customWidth="1"/>
    <col min="7157" max="7157" width="30.875" style="53" customWidth="1"/>
    <col min="7158" max="7158" width="20.75" style="53" customWidth="1"/>
    <col min="7159" max="7159" width="4" style="53" customWidth="1"/>
    <col min="7160" max="7160" width="4.625" style="53" customWidth="1"/>
    <col min="7161" max="7161" width="5.375" style="53" customWidth="1"/>
    <col min="7162" max="7164" width="7.125" style="53" customWidth="1"/>
    <col min="7165" max="7173" width="9" style="53" customWidth="1"/>
    <col min="7174" max="7333" width="8.75" style="53"/>
    <col min="7334" max="7365" width="9" style="53" customWidth="1"/>
    <col min="7366" max="7407" width="8.75" style="53"/>
    <col min="7408" max="7408" width="3.125" style="53" customWidth="1"/>
    <col min="7409" max="7409" width="11.125" style="53" customWidth="1"/>
    <col min="7410" max="7412" width="8.75" style="53" hidden="1" customWidth="1"/>
    <col min="7413" max="7413" width="30.875" style="53" customWidth="1"/>
    <col min="7414" max="7414" width="20.75" style="53" customWidth="1"/>
    <col min="7415" max="7415" width="4" style="53" customWidth="1"/>
    <col min="7416" max="7416" width="4.625" style="53" customWidth="1"/>
    <col min="7417" max="7417" width="5.375" style="53" customWidth="1"/>
    <col min="7418" max="7420" width="7.125" style="53" customWidth="1"/>
    <col min="7421" max="7429" width="9" style="53" customWidth="1"/>
    <col min="7430" max="7589" width="8.75" style="53"/>
    <col min="7590" max="7621" width="9" style="53" customWidth="1"/>
    <col min="7622" max="7663" width="8.75" style="53"/>
    <col min="7664" max="7664" width="3.125" style="53" customWidth="1"/>
    <col min="7665" max="7665" width="11.125" style="53" customWidth="1"/>
    <col min="7666" max="7668" width="8.75" style="53" hidden="1" customWidth="1"/>
    <col min="7669" max="7669" width="30.875" style="53" customWidth="1"/>
    <col min="7670" max="7670" width="20.75" style="53" customWidth="1"/>
    <col min="7671" max="7671" width="4" style="53" customWidth="1"/>
    <col min="7672" max="7672" width="4.625" style="53" customWidth="1"/>
    <col min="7673" max="7673" width="5.375" style="53" customWidth="1"/>
    <col min="7674" max="7676" width="7.125" style="53" customWidth="1"/>
    <col min="7677" max="7685" width="9" style="53" customWidth="1"/>
    <col min="7686" max="7845" width="8.75" style="53"/>
    <col min="7846" max="7877" width="9" style="53" customWidth="1"/>
    <col min="7878" max="7919" width="8.75" style="53"/>
    <col min="7920" max="7920" width="3.125" style="53" customWidth="1"/>
    <col min="7921" max="7921" width="11.125" style="53" customWidth="1"/>
    <col min="7922" max="7924" width="8.75" style="53" hidden="1" customWidth="1"/>
    <col min="7925" max="7925" width="30.875" style="53" customWidth="1"/>
    <col min="7926" max="7926" width="20.75" style="53" customWidth="1"/>
    <col min="7927" max="7927" width="4" style="53" customWidth="1"/>
    <col min="7928" max="7928" width="4.625" style="53" customWidth="1"/>
    <col min="7929" max="7929" width="5.375" style="53" customWidth="1"/>
    <col min="7930" max="7932" width="7.125" style="53" customWidth="1"/>
    <col min="7933" max="7941" width="9" style="53" customWidth="1"/>
    <col min="7942" max="8101" width="8.75" style="53"/>
    <col min="8102" max="8133" width="9" style="53" customWidth="1"/>
    <col min="8134" max="8175" width="8.75" style="53"/>
    <col min="8176" max="8176" width="3.125" style="53" customWidth="1"/>
    <col min="8177" max="8177" width="11.125" style="53" customWidth="1"/>
    <col min="8178" max="8180" width="8.75" style="53" hidden="1" customWidth="1"/>
    <col min="8181" max="8181" width="30.875" style="53" customWidth="1"/>
    <col min="8182" max="8182" width="20.75" style="53" customWidth="1"/>
    <col min="8183" max="8183" width="4" style="53" customWidth="1"/>
    <col min="8184" max="8184" width="4.625" style="53" customWidth="1"/>
    <col min="8185" max="8185" width="5.375" style="53" customWidth="1"/>
    <col min="8186" max="8188" width="7.125" style="53" customWidth="1"/>
    <col min="8189" max="8197" width="9" style="53" customWidth="1"/>
    <col min="8198" max="8357" width="8.75" style="53"/>
    <col min="8358" max="8389" width="9" style="53" customWidth="1"/>
    <col min="8390" max="8431" width="8.75" style="53"/>
    <col min="8432" max="8432" width="3.125" style="53" customWidth="1"/>
    <col min="8433" max="8433" width="11.125" style="53" customWidth="1"/>
    <col min="8434" max="8436" width="8.75" style="53" hidden="1" customWidth="1"/>
    <col min="8437" max="8437" width="30.875" style="53" customWidth="1"/>
    <col min="8438" max="8438" width="20.75" style="53" customWidth="1"/>
    <col min="8439" max="8439" width="4" style="53" customWidth="1"/>
    <col min="8440" max="8440" width="4.625" style="53" customWidth="1"/>
    <col min="8441" max="8441" width="5.375" style="53" customWidth="1"/>
    <col min="8442" max="8444" width="7.125" style="53" customWidth="1"/>
    <col min="8445" max="8453" width="9" style="53" customWidth="1"/>
    <col min="8454" max="8613" width="8.75" style="53"/>
    <col min="8614" max="8645" width="9" style="53" customWidth="1"/>
    <col min="8646" max="8687" width="8.75" style="53"/>
    <col min="8688" max="8688" width="3.125" style="53" customWidth="1"/>
    <col min="8689" max="8689" width="11.125" style="53" customWidth="1"/>
    <col min="8690" max="8692" width="8.75" style="53" hidden="1" customWidth="1"/>
    <col min="8693" max="8693" width="30.875" style="53" customWidth="1"/>
    <col min="8694" max="8694" width="20.75" style="53" customWidth="1"/>
    <col min="8695" max="8695" width="4" style="53" customWidth="1"/>
    <col min="8696" max="8696" width="4.625" style="53" customWidth="1"/>
    <col min="8697" max="8697" width="5.375" style="53" customWidth="1"/>
    <col min="8698" max="8700" width="7.125" style="53" customWidth="1"/>
    <col min="8701" max="8709" width="9" style="53" customWidth="1"/>
    <col min="8710" max="8869" width="8.75" style="53"/>
    <col min="8870" max="8901" width="9" style="53" customWidth="1"/>
    <col min="8902" max="8943" width="8.75" style="53"/>
    <col min="8944" max="8944" width="3.125" style="53" customWidth="1"/>
    <col min="8945" max="8945" width="11.125" style="53" customWidth="1"/>
    <col min="8946" max="8948" width="8.75" style="53" hidden="1" customWidth="1"/>
    <col min="8949" max="8949" width="30.875" style="53" customWidth="1"/>
    <col min="8950" max="8950" width="20.75" style="53" customWidth="1"/>
    <col min="8951" max="8951" width="4" style="53" customWidth="1"/>
    <col min="8952" max="8952" width="4.625" style="53" customWidth="1"/>
    <col min="8953" max="8953" width="5.375" style="53" customWidth="1"/>
    <col min="8954" max="8956" width="7.125" style="53" customWidth="1"/>
    <col min="8957" max="8965" width="9" style="53" customWidth="1"/>
    <col min="8966" max="9125" width="8.75" style="53"/>
    <col min="9126" max="9157" width="9" style="53" customWidth="1"/>
    <col min="9158" max="9199" width="8.75" style="53"/>
    <col min="9200" max="9200" width="3.125" style="53" customWidth="1"/>
    <col min="9201" max="9201" width="11.125" style="53" customWidth="1"/>
    <col min="9202" max="9204" width="8.75" style="53" hidden="1" customWidth="1"/>
    <col min="9205" max="9205" width="30.875" style="53" customWidth="1"/>
    <col min="9206" max="9206" width="20.75" style="53" customWidth="1"/>
    <col min="9207" max="9207" width="4" style="53" customWidth="1"/>
    <col min="9208" max="9208" width="4.625" style="53" customWidth="1"/>
    <col min="9209" max="9209" width="5.375" style="53" customWidth="1"/>
    <col min="9210" max="9212" width="7.125" style="53" customWidth="1"/>
    <col min="9213" max="9221" width="9" style="53" customWidth="1"/>
    <col min="9222" max="9381" width="8.75" style="53"/>
    <col min="9382" max="9413" width="9" style="53" customWidth="1"/>
    <col min="9414" max="9455" width="8.75" style="53"/>
    <col min="9456" max="9456" width="3.125" style="53" customWidth="1"/>
    <col min="9457" max="9457" width="11.125" style="53" customWidth="1"/>
    <col min="9458" max="9460" width="8.75" style="53" hidden="1" customWidth="1"/>
    <col min="9461" max="9461" width="30.875" style="53" customWidth="1"/>
    <col min="9462" max="9462" width="20.75" style="53" customWidth="1"/>
    <col min="9463" max="9463" width="4" style="53" customWidth="1"/>
    <col min="9464" max="9464" width="4.625" style="53" customWidth="1"/>
    <col min="9465" max="9465" width="5.375" style="53" customWidth="1"/>
    <col min="9466" max="9468" width="7.125" style="53" customWidth="1"/>
    <col min="9469" max="9477" width="9" style="53" customWidth="1"/>
    <col min="9478" max="9637" width="8.75" style="53"/>
    <col min="9638" max="9669" width="9" style="53" customWidth="1"/>
    <col min="9670" max="9711" width="8.75" style="53"/>
    <col min="9712" max="9712" width="3.125" style="53" customWidth="1"/>
    <col min="9713" max="9713" width="11.125" style="53" customWidth="1"/>
    <col min="9714" max="9716" width="8.75" style="53" hidden="1" customWidth="1"/>
    <col min="9717" max="9717" width="30.875" style="53" customWidth="1"/>
    <col min="9718" max="9718" width="20.75" style="53" customWidth="1"/>
    <col min="9719" max="9719" width="4" style="53" customWidth="1"/>
    <col min="9720" max="9720" width="4.625" style="53" customWidth="1"/>
    <col min="9721" max="9721" width="5.375" style="53" customWidth="1"/>
    <col min="9722" max="9724" width="7.125" style="53" customWidth="1"/>
    <col min="9725" max="9733" width="9" style="53" customWidth="1"/>
    <col min="9734" max="9893" width="8.75" style="53"/>
    <col min="9894" max="9925" width="9" style="53" customWidth="1"/>
    <col min="9926" max="9967" width="8.75" style="53"/>
    <col min="9968" max="9968" width="3.125" style="53" customWidth="1"/>
    <col min="9969" max="9969" width="11.125" style="53" customWidth="1"/>
    <col min="9970" max="9972" width="8.75" style="53" hidden="1" customWidth="1"/>
    <col min="9973" max="9973" width="30.875" style="53" customWidth="1"/>
    <col min="9974" max="9974" width="20.75" style="53" customWidth="1"/>
    <col min="9975" max="9975" width="4" style="53" customWidth="1"/>
    <col min="9976" max="9976" width="4.625" style="53" customWidth="1"/>
    <col min="9977" max="9977" width="5.375" style="53" customWidth="1"/>
    <col min="9978" max="9980" width="7.125" style="53" customWidth="1"/>
    <col min="9981" max="9989" width="9" style="53" customWidth="1"/>
    <col min="9990" max="10149" width="8.75" style="53"/>
    <col min="10150" max="10181" width="9" style="53" customWidth="1"/>
    <col min="10182" max="10223" width="8.75" style="53"/>
    <col min="10224" max="10224" width="3.125" style="53" customWidth="1"/>
    <col min="10225" max="10225" width="11.125" style="53" customWidth="1"/>
    <col min="10226" max="10228" width="8.75" style="53" hidden="1" customWidth="1"/>
    <col min="10229" max="10229" width="30.875" style="53" customWidth="1"/>
    <col min="10230" max="10230" width="20.75" style="53" customWidth="1"/>
    <col min="10231" max="10231" width="4" style="53" customWidth="1"/>
    <col min="10232" max="10232" width="4.625" style="53" customWidth="1"/>
    <col min="10233" max="10233" width="5.375" style="53" customWidth="1"/>
    <col min="10234" max="10236" width="7.125" style="53" customWidth="1"/>
    <col min="10237" max="10245" width="9" style="53" customWidth="1"/>
    <col min="10246" max="10405" width="8.75" style="53"/>
    <col min="10406" max="10437" width="9" style="53" customWidth="1"/>
    <col min="10438" max="10479" width="8.75" style="53"/>
    <col min="10480" max="10480" width="3.125" style="53" customWidth="1"/>
    <col min="10481" max="10481" width="11.125" style="53" customWidth="1"/>
    <col min="10482" max="10484" width="8.75" style="53" hidden="1" customWidth="1"/>
    <col min="10485" max="10485" width="30.875" style="53" customWidth="1"/>
    <col min="10486" max="10486" width="20.75" style="53" customWidth="1"/>
    <col min="10487" max="10487" width="4" style="53" customWidth="1"/>
    <col min="10488" max="10488" width="4.625" style="53" customWidth="1"/>
    <col min="10489" max="10489" width="5.375" style="53" customWidth="1"/>
    <col min="10490" max="10492" width="7.125" style="53" customWidth="1"/>
    <col min="10493" max="10501" width="9" style="53" customWidth="1"/>
    <col min="10502" max="10661" width="8.75" style="53"/>
    <col min="10662" max="10693" width="9" style="53" customWidth="1"/>
    <col min="10694" max="10735" width="8.75" style="53"/>
    <col min="10736" max="10736" width="3.125" style="53" customWidth="1"/>
    <col min="10737" max="10737" width="11.125" style="53" customWidth="1"/>
    <col min="10738" max="10740" width="8.75" style="53" hidden="1" customWidth="1"/>
    <col min="10741" max="10741" width="30.875" style="53" customWidth="1"/>
    <col min="10742" max="10742" width="20.75" style="53" customWidth="1"/>
    <col min="10743" max="10743" width="4" style="53" customWidth="1"/>
    <col min="10744" max="10744" width="4.625" style="53" customWidth="1"/>
    <col min="10745" max="10745" width="5.375" style="53" customWidth="1"/>
    <col min="10746" max="10748" width="7.125" style="53" customWidth="1"/>
    <col min="10749" max="10757" width="9" style="53" customWidth="1"/>
    <col min="10758" max="10917" width="8.75" style="53"/>
    <col min="10918" max="10949" width="9" style="53" customWidth="1"/>
    <col min="10950" max="10991" width="8.75" style="53"/>
    <col min="10992" max="10992" width="3.125" style="53" customWidth="1"/>
    <col min="10993" max="10993" width="11.125" style="53" customWidth="1"/>
    <col min="10994" max="10996" width="8.75" style="53" hidden="1" customWidth="1"/>
    <col min="10997" max="10997" width="30.875" style="53" customWidth="1"/>
    <col min="10998" max="10998" width="20.75" style="53" customWidth="1"/>
    <col min="10999" max="10999" width="4" style="53" customWidth="1"/>
    <col min="11000" max="11000" width="4.625" style="53" customWidth="1"/>
    <col min="11001" max="11001" width="5.375" style="53" customWidth="1"/>
    <col min="11002" max="11004" width="7.125" style="53" customWidth="1"/>
    <col min="11005" max="11013" width="9" style="53" customWidth="1"/>
    <col min="11014" max="11173" width="8.75" style="53"/>
    <col min="11174" max="11205" width="9" style="53" customWidth="1"/>
    <col min="11206" max="11247" width="8.75" style="53"/>
    <col min="11248" max="11248" width="3.125" style="53" customWidth="1"/>
    <col min="11249" max="11249" width="11.125" style="53" customWidth="1"/>
    <col min="11250" max="11252" width="8.75" style="53" hidden="1" customWidth="1"/>
    <col min="11253" max="11253" width="30.875" style="53" customWidth="1"/>
    <col min="11254" max="11254" width="20.75" style="53" customWidth="1"/>
    <col min="11255" max="11255" width="4" style="53" customWidth="1"/>
    <col min="11256" max="11256" width="4.625" style="53" customWidth="1"/>
    <col min="11257" max="11257" width="5.375" style="53" customWidth="1"/>
    <col min="11258" max="11260" width="7.125" style="53" customWidth="1"/>
    <col min="11261" max="11269" width="9" style="53" customWidth="1"/>
    <col min="11270" max="11429" width="8.75" style="53"/>
    <col min="11430" max="11461" width="9" style="53" customWidth="1"/>
    <col min="11462" max="11503" width="8.75" style="53"/>
    <col min="11504" max="11504" width="3.125" style="53" customWidth="1"/>
    <col min="11505" max="11505" width="11.125" style="53" customWidth="1"/>
    <col min="11506" max="11508" width="8.75" style="53" hidden="1" customWidth="1"/>
    <col min="11509" max="11509" width="30.875" style="53" customWidth="1"/>
    <col min="11510" max="11510" width="20.75" style="53" customWidth="1"/>
    <col min="11511" max="11511" width="4" style="53" customWidth="1"/>
    <col min="11512" max="11512" width="4.625" style="53" customWidth="1"/>
    <col min="11513" max="11513" width="5.375" style="53" customWidth="1"/>
    <col min="11514" max="11516" width="7.125" style="53" customWidth="1"/>
    <col min="11517" max="11525" width="9" style="53" customWidth="1"/>
    <col min="11526" max="11685" width="8.75" style="53"/>
    <col min="11686" max="11717" width="9" style="53" customWidth="1"/>
    <col min="11718" max="11759" width="8.75" style="53"/>
    <col min="11760" max="11760" width="3.125" style="53" customWidth="1"/>
    <col min="11761" max="11761" width="11.125" style="53" customWidth="1"/>
    <col min="11762" max="11764" width="8.75" style="53" hidden="1" customWidth="1"/>
    <col min="11765" max="11765" width="30.875" style="53" customWidth="1"/>
    <col min="11766" max="11766" width="20.75" style="53" customWidth="1"/>
    <col min="11767" max="11767" width="4" style="53" customWidth="1"/>
    <col min="11768" max="11768" width="4.625" style="53" customWidth="1"/>
    <col min="11769" max="11769" width="5.375" style="53" customWidth="1"/>
    <col min="11770" max="11772" width="7.125" style="53" customWidth="1"/>
    <col min="11773" max="11781" width="9" style="53" customWidth="1"/>
    <col min="11782" max="11941" width="8.75" style="53"/>
    <col min="11942" max="11973" width="9" style="53" customWidth="1"/>
    <col min="11974" max="12015" width="8.75" style="53"/>
    <col min="12016" max="12016" width="3.125" style="53" customWidth="1"/>
    <col min="12017" max="12017" width="11.125" style="53" customWidth="1"/>
    <col min="12018" max="12020" width="8.75" style="53" hidden="1" customWidth="1"/>
    <col min="12021" max="12021" width="30.875" style="53" customWidth="1"/>
    <col min="12022" max="12022" width="20.75" style="53" customWidth="1"/>
    <col min="12023" max="12023" width="4" style="53" customWidth="1"/>
    <col min="12024" max="12024" width="4.625" style="53" customWidth="1"/>
    <col min="12025" max="12025" width="5.375" style="53" customWidth="1"/>
    <col min="12026" max="12028" width="7.125" style="53" customWidth="1"/>
    <col min="12029" max="12037" width="9" style="53" customWidth="1"/>
    <col min="12038" max="12197" width="8.75" style="53"/>
    <col min="12198" max="12229" width="9" style="53" customWidth="1"/>
    <col min="12230" max="12271" width="8.75" style="53"/>
    <col min="12272" max="12272" width="3.125" style="53" customWidth="1"/>
    <col min="12273" max="12273" width="11.125" style="53" customWidth="1"/>
    <col min="12274" max="12276" width="8.75" style="53" hidden="1" customWidth="1"/>
    <col min="12277" max="12277" width="30.875" style="53" customWidth="1"/>
    <col min="12278" max="12278" width="20.75" style="53" customWidth="1"/>
    <col min="12279" max="12279" width="4" style="53" customWidth="1"/>
    <col min="12280" max="12280" width="4.625" style="53" customWidth="1"/>
    <col min="12281" max="12281" width="5.375" style="53" customWidth="1"/>
    <col min="12282" max="12284" width="7.125" style="53" customWidth="1"/>
    <col min="12285" max="12293" width="9" style="53" customWidth="1"/>
    <col min="12294" max="12453" width="8.75" style="53"/>
    <col min="12454" max="12485" width="9" style="53" customWidth="1"/>
    <col min="12486" max="12527" width="8.75" style="53"/>
    <col min="12528" max="12528" width="3.125" style="53" customWidth="1"/>
    <col min="12529" max="12529" width="11.125" style="53" customWidth="1"/>
    <col min="12530" max="12532" width="8.75" style="53" hidden="1" customWidth="1"/>
    <col min="12533" max="12533" width="30.875" style="53" customWidth="1"/>
    <col min="12534" max="12534" width="20.75" style="53" customWidth="1"/>
    <col min="12535" max="12535" width="4" style="53" customWidth="1"/>
    <col min="12536" max="12536" width="4.625" style="53" customWidth="1"/>
    <col min="12537" max="12537" width="5.375" style="53" customWidth="1"/>
    <col min="12538" max="12540" width="7.125" style="53" customWidth="1"/>
    <col min="12541" max="12549" width="9" style="53" customWidth="1"/>
    <col min="12550" max="12709" width="8.75" style="53"/>
    <col min="12710" max="12741" width="9" style="53" customWidth="1"/>
    <col min="12742" max="12783" width="8.75" style="53"/>
    <col min="12784" max="12784" width="3.125" style="53" customWidth="1"/>
    <col min="12785" max="12785" width="11.125" style="53" customWidth="1"/>
    <col min="12786" max="12788" width="8.75" style="53" hidden="1" customWidth="1"/>
    <col min="12789" max="12789" width="30.875" style="53" customWidth="1"/>
    <col min="12790" max="12790" width="20.75" style="53" customWidth="1"/>
    <col min="12791" max="12791" width="4" style="53" customWidth="1"/>
    <col min="12792" max="12792" width="4.625" style="53" customWidth="1"/>
    <col min="12793" max="12793" width="5.375" style="53" customWidth="1"/>
    <col min="12794" max="12796" width="7.125" style="53" customWidth="1"/>
    <col min="12797" max="12805" width="9" style="53" customWidth="1"/>
    <col min="12806" max="12965" width="8.75" style="53"/>
    <col min="12966" max="12997" width="9" style="53" customWidth="1"/>
    <col min="12998" max="13039" width="8.75" style="53"/>
    <col min="13040" max="13040" width="3.125" style="53" customWidth="1"/>
    <col min="13041" max="13041" width="11.125" style="53" customWidth="1"/>
    <col min="13042" max="13044" width="8.75" style="53" hidden="1" customWidth="1"/>
    <col min="13045" max="13045" width="30.875" style="53" customWidth="1"/>
    <col min="13046" max="13046" width="20.75" style="53" customWidth="1"/>
    <col min="13047" max="13047" width="4" style="53" customWidth="1"/>
    <col min="13048" max="13048" width="4.625" style="53" customWidth="1"/>
    <col min="13049" max="13049" width="5.375" style="53" customWidth="1"/>
    <col min="13050" max="13052" width="7.125" style="53" customWidth="1"/>
    <col min="13053" max="13061" width="9" style="53" customWidth="1"/>
    <col min="13062" max="13221" width="8.75" style="53"/>
    <col min="13222" max="13253" width="9" style="53" customWidth="1"/>
    <col min="13254" max="13295" width="8.75" style="53"/>
    <col min="13296" max="13296" width="3.125" style="53" customWidth="1"/>
    <col min="13297" max="13297" width="11.125" style="53" customWidth="1"/>
    <col min="13298" max="13300" width="8.75" style="53" hidden="1" customWidth="1"/>
    <col min="13301" max="13301" width="30.875" style="53" customWidth="1"/>
    <col min="13302" max="13302" width="20.75" style="53" customWidth="1"/>
    <col min="13303" max="13303" width="4" style="53" customWidth="1"/>
    <col min="13304" max="13304" width="4.625" style="53" customWidth="1"/>
    <col min="13305" max="13305" width="5.375" style="53" customWidth="1"/>
    <col min="13306" max="13308" width="7.125" style="53" customWidth="1"/>
    <col min="13309" max="13317" width="9" style="53" customWidth="1"/>
    <col min="13318" max="13477" width="8.75" style="53"/>
    <col min="13478" max="13509" width="9" style="53" customWidth="1"/>
    <col min="13510" max="13551" width="8.75" style="53"/>
    <col min="13552" max="13552" width="3.125" style="53" customWidth="1"/>
    <col min="13553" max="13553" width="11.125" style="53" customWidth="1"/>
    <col min="13554" max="13556" width="8.75" style="53" hidden="1" customWidth="1"/>
    <col min="13557" max="13557" width="30.875" style="53" customWidth="1"/>
    <col min="13558" max="13558" width="20.75" style="53" customWidth="1"/>
    <col min="13559" max="13559" width="4" style="53" customWidth="1"/>
    <col min="13560" max="13560" width="4.625" style="53" customWidth="1"/>
    <col min="13561" max="13561" width="5.375" style="53" customWidth="1"/>
    <col min="13562" max="13564" width="7.125" style="53" customWidth="1"/>
    <col min="13565" max="13573" width="9" style="53" customWidth="1"/>
    <col min="13574" max="13733" width="8.75" style="53"/>
    <col min="13734" max="13765" width="9" style="53" customWidth="1"/>
    <col min="13766" max="13807" width="8.75" style="53"/>
    <col min="13808" max="13808" width="3.125" style="53" customWidth="1"/>
    <col min="13809" max="13809" width="11.125" style="53" customWidth="1"/>
    <col min="13810" max="13812" width="8.75" style="53" hidden="1" customWidth="1"/>
    <col min="13813" max="13813" width="30.875" style="53" customWidth="1"/>
    <col min="13814" max="13814" width="20.75" style="53" customWidth="1"/>
    <col min="13815" max="13815" width="4" style="53" customWidth="1"/>
    <col min="13816" max="13816" width="4.625" style="53" customWidth="1"/>
    <col min="13817" max="13817" width="5.375" style="53" customWidth="1"/>
    <col min="13818" max="13820" width="7.125" style="53" customWidth="1"/>
    <col min="13821" max="13829" width="9" style="53" customWidth="1"/>
    <col min="13830" max="13989" width="8.75" style="53"/>
    <col min="13990" max="14021" width="9" style="53" customWidth="1"/>
    <col min="14022" max="14063" width="8.75" style="53"/>
    <col min="14064" max="14064" width="3.125" style="53" customWidth="1"/>
    <col min="14065" max="14065" width="11.125" style="53" customWidth="1"/>
    <col min="14066" max="14068" width="8.75" style="53" hidden="1" customWidth="1"/>
    <col min="14069" max="14069" width="30.875" style="53" customWidth="1"/>
    <col min="14070" max="14070" width="20.75" style="53" customWidth="1"/>
    <col min="14071" max="14071" width="4" style="53" customWidth="1"/>
    <col min="14072" max="14072" width="4.625" style="53" customWidth="1"/>
    <col min="14073" max="14073" width="5.375" style="53" customWidth="1"/>
    <col min="14074" max="14076" width="7.125" style="53" customWidth="1"/>
    <col min="14077" max="14085" width="9" style="53" customWidth="1"/>
    <col min="14086" max="14245" width="8.75" style="53"/>
    <col min="14246" max="14277" width="9" style="53" customWidth="1"/>
    <col min="14278" max="14319" width="8.75" style="53"/>
    <col min="14320" max="14320" width="3.125" style="53" customWidth="1"/>
    <col min="14321" max="14321" width="11.125" style="53" customWidth="1"/>
    <col min="14322" max="14324" width="8.75" style="53" hidden="1" customWidth="1"/>
    <col min="14325" max="14325" width="30.875" style="53" customWidth="1"/>
    <col min="14326" max="14326" width="20.75" style="53" customWidth="1"/>
    <col min="14327" max="14327" width="4" style="53" customWidth="1"/>
    <col min="14328" max="14328" width="4.625" style="53" customWidth="1"/>
    <col min="14329" max="14329" width="5.375" style="53" customWidth="1"/>
    <col min="14330" max="14332" width="7.125" style="53" customWidth="1"/>
    <col min="14333" max="14341" width="9" style="53" customWidth="1"/>
    <col min="14342" max="14501" width="8.75" style="53"/>
    <col min="14502" max="14533" width="9" style="53" customWidth="1"/>
    <col min="14534" max="14575" width="8.75" style="53"/>
    <col min="14576" max="14576" width="3.125" style="53" customWidth="1"/>
    <col min="14577" max="14577" width="11.125" style="53" customWidth="1"/>
    <col min="14578" max="14580" width="8.75" style="53" hidden="1" customWidth="1"/>
    <col min="14581" max="14581" width="30.875" style="53" customWidth="1"/>
    <col min="14582" max="14582" width="20.75" style="53" customWidth="1"/>
    <col min="14583" max="14583" width="4" style="53" customWidth="1"/>
    <col min="14584" max="14584" width="4.625" style="53" customWidth="1"/>
    <col min="14585" max="14585" width="5.375" style="53" customWidth="1"/>
    <col min="14586" max="14588" width="7.125" style="53" customWidth="1"/>
    <col min="14589" max="14597" width="9" style="53" customWidth="1"/>
    <col min="14598" max="14757" width="8.75" style="53"/>
    <col min="14758" max="14789" width="9" style="53" customWidth="1"/>
    <col min="14790" max="14831" width="8.75" style="53"/>
    <col min="14832" max="14832" width="3.125" style="53" customWidth="1"/>
    <col min="14833" max="14833" width="11.125" style="53" customWidth="1"/>
    <col min="14834" max="14836" width="8.75" style="53" hidden="1" customWidth="1"/>
    <col min="14837" max="14837" width="30.875" style="53" customWidth="1"/>
    <col min="14838" max="14838" width="20.75" style="53" customWidth="1"/>
    <col min="14839" max="14839" width="4" style="53" customWidth="1"/>
    <col min="14840" max="14840" width="4.625" style="53" customWidth="1"/>
    <col min="14841" max="14841" width="5.375" style="53" customWidth="1"/>
    <col min="14842" max="14844" width="7.125" style="53" customWidth="1"/>
    <col min="14845" max="14853" width="9" style="53" customWidth="1"/>
    <col min="14854" max="15013" width="8.75" style="53"/>
    <col min="15014" max="15045" width="9" style="53" customWidth="1"/>
    <col min="15046" max="15087" width="8.75" style="53"/>
    <col min="15088" max="15088" width="3.125" style="53" customWidth="1"/>
    <col min="15089" max="15089" width="11.125" style="53" customWidth="1"/>
    <col min="15090" max="15092" width="8.75" style="53" hidden="1" customWidth="1"/>
    <col min="15093" max="15093" width="30.875" style="53" customWidth="1"/>
    <col min="15094" max="15094" width="20.75" style="53" customWidth="1"/>
    <col min="15095" max="15095" width="4" style="53" customWidth="1"/>
    <col min="15096" max="15096" width="4.625" style="53" customWidth="1"/>
    <col min="15097" max="15097" width="5.375" style="53" customWidth="1"/>
    <col min="15098" max="15100" width="7.125" style="53" customWidth="1"/>
    <col min="15101" max="15109" width="9" style="53" customWidth="1"/>
    <col min="15110" max="15269" width="8.75" style="53"/>
    <col min="15270" max="15301" width="9" style="53" customWidth="1"/>
    <col min="15302" max="15343" width="8.75" style="53"/>
    <col min="15344" max="15344" width="3.125" style="53" customWidth="1"/>
    <col min="15345" max="15345" width="11.125" style="53" customWidth="1"/>
    <col min="15346" max="15348" width="8.75" style="53" hidden="1" customWidth="1"/>
    <col min="15349" max="15349" width="30.875" style="53" customWidth="1"/>
    <col min="15350" max="15350" width="20.75" style="53" customWidth="1"/>
    <col min="15351" max="15351" width="4" style="53" customWidth="1"/>
    <col min="15352" max="15352" width="4.625" style="53" customWidth="1"/>
    <col min="15353" max="15353" width="5.375" style="53" customWidth="1"/>
    <col min="15354" max="15356" width="7.125" style="53" customWidth="1"/>
    <col min="15357" max="15365" width="9" style="53" customWidth="1"/>
    <col min="15366" max="15525" width="8.75" style="53"/>
    <col min="15526" max="15557" width="9" style="53" customWidth="1"/>
    <col min="15558" max="15599" width="8.75" style="53"/>
    <col min="15600" max="15600" width="3.125" style="53" customWidth="1"/>
    <col min="15601" max="15601" width="11.125" style="53" customWidth="1"/>
    <col min="15602" max="15604" width="8.75" style="53" hidden="1" customWidth="1"/>
    <col min="15605" max="15605" width="30.875" style="53" customWidth="1"/>
    <col min="15606" max="15606" width="20.75" style="53" customWidth="1"/>
    <col min="15607" max="15607" width="4" style="53" customWidth="1"/>
    <col min="15608" max="15608" width="4.625" style="53" customWidth="1"/>
    <col min="15609" max="15609" width="5.375" style="53" customWidth="1"/>
    <col min="15610" max="15612" width="7.125" style="53" customWidth="1"/>
    <col min="15613" max="15621" width="9" style="53" customWidth="1"/>
    <col min="15622" max="15781" width="8.75" style="53"/>
    <col min="15782" max="15813" width="9" style="53" customWidth="1"/>
    <col min="15814" max="15855" width="8.75" style="53"/>
    <col min="15856" max="15856" width="3.125" style="53" customWidth="1"/>
    <col min="15857" max="15857" width="11.125" style="53" customWidth="1"/>
    <col min="15858" max="15860" width="8.75" style="53" hidden="1" customWidth="1"/>
    <col min="15861" max="15861" width="30.875" style="53" customWidth="1"/>
    <col min="15862" max="15862" width="20.75" style="53" customWidth="1"/>
    <col min="15863" max="15863" width="4" style="53" customWidth="1"/>
    <col min="15864" max="15864" width="4.625" style="53" customWidth="1"/>
    <col min="15865" max="15865" width="5.375" style="53" customWidth="1"/>
    <col min="15866" max="15868" width="7.125" style="53" customWidth="1"/>
    <col min="15869" max="15877" width="9" style="53" customWidth="1"/>
    <col min="15878" max="16037" width="8.75" style="53"/>
    <col min="16038" max="16069" width="9" style="53" customWidth="1"/>
    <col min="16070" max="16111" width="8.75" style="53"/>
    <col min="16112" max="16112" width="3.125" style="53" customWidth="1"/>
    <col min="16113" max="16113" width="11.125" style="53" customWidth="1"/>
    <col min="16114" max="16116" width="8.75" style="53" hidden="1" customWidth="1"/>
    <col min="16117" max="16117" width="30.875" style="53" customWidth="1"/>
    <col min="16118" max="16118" width="20.75" style="53" customWidth="1"/>
    <col min="16119" max="16119" width="4" style="53" customWidth="1"/>
    <col min="16120" max="16120" width="4.625" style="53" customWidth="1"/>
    <col min="16121" max="16121" width="5.375" style="53" customWidth="1"/>
    <col min="16122" max="16124" width="7.125" style="53" customWidth="1"/>
    <col min="16125" max="16133" width="9" style="53" customWidth="1"/>
    <col min="16134" max="16293" width="8.75" style="53"/>
    <col min="16294" max="16325" width="9" style="53" customWidth="1"/>
    <col min="16326" max="16384" width="8.75" style="53"/>
  </cols>
  <sheetData>
    <row r="1" spans="1:14" ht="15.95" customHeight="1">
      <c r="A1" s="68" t="s">
        <v>0</v>
      </c>
      <c r="B1" s="69"/>
      <c r="C1" s="69"/>
      <c r="D1" s="69"/>
      <c r="E1" s="69"/>
      <c r="F1" s="69"/>
      <c r="G1" s="69"/>
      <c r="H1" s="70"/>
      <c r="I1" s="70"/>
      <c r="J1" s="71"/>
      <c r="K1" s="92" t="s">
        <v>1</v>
      </c>
      <c r="L1" s="93"/>
      <c r="M1" s="93"/>
    </row>
    <row r="2" spans="1:14" ht="15.95" customHeight="1">
      <c r="A2" s="72" t="s">
        <v>2</v>
      </c>
      <c r="B2" s="73"/>
      <c r="C2" s="73"/>
      <c r="D2" s="73"/>
      <c r="E2" s="73"/>
      <c r="F2" s="73"/>
      <c r="G2" s="73"/>
      <c r="H2" s="74"/>
      <c r="I2" s="74"/>
      <c r="J2" s="75"/>
      <c r="K2" s="92"/>
      <c r="L2" s="93"/>
      <c r="M2" s="93"/>
    </row>
    <row r="3" spans="1:14" ht="15.95" customHeight="1">
      <c r="A3" s="72" t="s">
        <v>3</v>
      </c>
      <c r="B3" s="73"/>
      <c r="C3" s="73"/>
      <c r="D3" s="73"/>
      <c r="E3" s="73"/>
      <c r="F3" s="73"/>
      <c r="G3" s="73"/>
      <c r="H3" s="74"/>
      <c r="I3" s="74"/>
      <c r="J3" s="75"/>
      <c r="K3" s="92"/>
      <c r="L3" s="93"/>
      <c r="M3" s="93"/>
    </row>
    <row r="4" spans="1:14" ht="15.95" customHeight="1">
      <c r="A4" s="68" t="s">
        <v>4</v>
      </c>
      <c r="B4" s="69"/>
      <c r="C4" s="69"/>
      <c r="D4" s="69"/>
      <c r="E4" s="69"/>
      <c r="F4" s="69"/>
      <c r="G4" s="69"/>
      <c r="H4" s="70"/>
      <c r="I4" s="70"/>
      <c r="J4" s="71"/>
      <c r="K4" s="92"/>
      <c r="L4" s="93"/>
      <c r="M4" s="93"/>
    </row>
    <row r="5" spans="1:14" ht="15.95" customHeight="1">
      <c r="A5" s="72" t="s">
        <v>5</v>
      </c>
      <c r="B5" s="73"/>
      <c r="C5" s="73"/>
      <c r="D5" s="73"/>
      <c r="E5" s="73"/>
      <c r="F5" s="73"/>
      <c r="G5" s="73"/>
      <c r="H5" s="74"/>
      <c r="I5" s="74"/>
      <c r="J5" s="75"/>
      <c r="K5" s="92"/>
      <c r="L5" s="93"/>
      <c r="M5" s="93"/>
    </row>
    <row r="6" spans="1:14" ht="15.95" customHeight="1">
      <c r="A6" s="76" t="s">
        <v>6</v>
      </c>
      <c r="B6" s="77"/>
      <c r="C6" s="77"/>
      <c r="D6" s="77"/>
      <c r="E6" s="77"/>
      <c r="F6" s="77"/>
      <c r="G6" s="77"/>
      <c r="H6" s="78"/>
      <c r="I6" s="78"/>
      <c r="J6" s="79"/>
      <c r="K6" s="92"/>
      <c r="L6" s="93"/>
      <c r="M6" s="93"/>
    </row>
    <row r="7" spans="1:14" ht="20.100000000000001" customHeight="1">
      <c r="A7" s="80" t="s">
        <v>7</v>
      </c>
      <c r="B7" s="80"/>
      <c r="C7" s="80"/>
      <c r="D7" s="80"/>
      <c r="E7" s="80"/>
      <c r="F7" s="80"/>
      <c r="G7" s="80"/>
      <c r="H7" s="94" t="s">
        <v>8</v>
      </c>
      <c r="I7" s="94"/>
      <c r="J7" s="95"/>
      <c r="K7" s="81" t="s">
        <v>9</v>
      </c>
      <c r="L7" s="82"/>
      <c r="M7" s="82"/>
    </row>
    <row r="8" spans="1:14" ht="20.100000000000001" customHeight="1">
      <c r="A8" s="80" t="s">
        <v>10</v>
      </c>
      <c r="B8" s="80"/>
      <c r="C8" s="80"/>
      <c r="D8" s="80"/>
      <c r="E8" s="80"/>
      <c r="F8" s="80"/>
      <c r="G8" s="80"/>
      <c r="H8" s="96"/>
      <c r="I8" s="96"/>
      <c r="J8" s="97"/>
      <c r="K8" s="83" t="s">
        <v>11</v>
      </c>
      <c r="L8" s="84"/>
      <c r="M8" s="85"/>
    </row>
    <row r="9" spans="1:14" ht="36" customHeight="1">
      <c r="A9" s="61" t="s">
        <v>12</v>
      </c>
      <c r="B9" s="59" t="s">
        <v>13</v>
      </c>
      <c r="C9" s="86" t="s">
        <v>14</v>
      </c>
      <c r="D9" s="87"/>
      <c r="E9" s="87"/>
      <c r="F9" s="87"/>
      <c r="G9" s="88"/>
      <c r="H9" s="14" t="s">
        <v>15</v>
      </c>
      <c r="I9" s="14" t="s">
        <v>16</v>
      </c>
      <c r="J9" s="14" t="s">
        <v>17</v>
      </c>
      <c r="K9" s="58" t="s">
        <v>18</v>
      </c>
      <c r="L9" s="12" t="s">
        <v>19</v>
      </c>
      <c r="M9" s="12" t="s">
        <v>20</v>
      </c>
    </row>
    <row r="10" spans="1:14" ht="29.1" customHeight="1">
      <c r="A10" s="61"/>
      <c r="B10" s="61"/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/>
      <c r="I10" s="12"/>
      <c r="J10" s="12" t="s">
        <v>26</v>
      </c>
      <c r="K10" s="12" t="s">
        <v>26</v>
      </c>
      <c r="L10" s="12"/>
      <c r="M10" s="62"/>
    </row>
    <row r="11" spans="1:14" ht="23.1" customHeight="1">
      <c r="A11" s="89" t="s">
        <v>27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1"/>
    </row>
    <row r="12" spans="1:14" s="33" customFormat="1" ht="32.1" customHeight="1">
      <c r="A12" s="15">
        <v>1</v>
      </c>
      <c r="B12" s="16" t="s">
        <v>28</v>
      </c>
      <c r="C12" s="17" t="s">
        <v>29</v>
      </c>
      <c r="D12" s="63" t="s">
        <v>30</v>
      </c>
      <c r="E12" s="16" t="s">
        <v>31</v>
      </c>
      <c r="F12" s="19" t="s">
        <v>32</v>
      </c>
      <c r="G12" s="16" t="s">
        <v>33</v>
      </c>
      <c r="H12" s="20">
        <v>1</v>
      </c>
      <c r="I12" s="21" t="s">
        <v>34</v>
      </c>
      <c r="J12" s="22">
        <f>'INVOICE FOR CNY'!J12/6.79</f>
        <v>62.002945508100098</v>
      </c>
      <c r="K12" s="22">
        <f>H12*J12</f>
        <v>62.002945508100098</v>
      </c>
      <c r="L12" s="21">
        <v>853710</v>
      </c>
      <c r="M12" s="49" t="s">
        <v>35</v>
      </c>
      <c r="N12" s="39"/>
    </row>
    <row r="13" spans="1:14" s="33" customFormat="1" ht="32.1" customHeight="1">
      <c r="A13" s="15">
        <v>2</v>
      </c>
      <c r="B13" s="16" t="s">
        <v>28</v>
      </c>
      <c r="C13" s="17" t="s">
        <v>36</v>
      </c>
      <c r="D13" s="24" t="s">
        <v>30</v>
      </c>
      <c r="E13" s="16" t="s">
        <v>37</v>
      </c>
      <c r="F13" s="18" t="s">
        <v>38</v>
      </c>
      <c r="G13" s="16" t="s">
        <v>39</v>
      </c>
      <c r="H13" s="20">
        <v>2</v>
      </c>
      <c r="I13" s="21" t="s">
        <v>40</v>
      </c>
      <c r="J13" s="22">
        <f>'INVOICE FOR CNY'!J13/6.79</f>
        <v>13.8438880706922</v>
      </c>
      <c r="K13" s="22">
        <f t="shared" ref="K13:K44" si="0">H13*J13</f>
        <v>27.687776141384401</v>
      </c>
      <c r="L13" s="21">
        <v>848180</v>
      </c>
      <c r="M13" s="49" t="s">
        <v>41</v>
      </c>
      <c r="N13" s="39"/>
    </row>
    <row r="14" spans="1:14" s="33" customFormat="1" ht="32.1" customHeight="1">
      <c r="A14" s="15">
        <v>3</v>
      </c>
      <c r="B14" s="16" t="s">
        <v>28</v>
      </c>
      <c r="C14" s="17" t="s">
        <v>42</v>
      </c>
      <c r="D14" s="24" t="s">
        <v>43</v>
      </c>
      <c r="E14" s="16" t="s">
        <v>44</v>
      </c>
      <c r="F14" s="18" t="s">
        <v>45</v>
      </c>
      <c r="G14" s="16" t="s">
        <v>46</v>
      </c>
      <c r="H14" s="20">
        <v>4</v>
      </c>
      <c r="I14" s="21" t="s">
        <v>40</v>
      </c>
      <c r="J14" s="22">
        <f>'INVOICE FOR CNY'!J14/6.79</f>
        <v>2.7982326951399101</v>
      </c>
      <c r="K14" s="22">
        <f t="shared" si="0"/>
        <v>11.1929307805596</v>
      </c>
      <c r="L14" s="21">
        <v>401699</v>
      </c>
      <c r="M14" s="49" t="s">
        <v>47</v>
      </c>
      <c r="N14" s="39"/>
    </row>
    <row r="15" spans="1:14" s="33" customFormat="1" ht="32.1" customHeight="1">
      <c r="A15" s="15">
        <v>4</v>
      </c>
      <c r="B15" s="16" t="s">
        <v>28</v>
      </c>
      <c r="C15" s="17" t="s">
        <v>48</v>
      </c>
      <c r="D15" s="24" t="s">
        <v>30</v>
      </c>
      <c r="E15" s="16" t="s">
        <v>49</v>
      </c>
      <c r="F15" s="18" t="s">
        <v>50</v>
      </c>
      <c r="G15" s="16" t="s">
        <v>51</v>
      </c>
      <c r="H15" s="20">
        <v>10</v>
      </c>
      <c r="I15" s="21" t="s">
        <v>40</v>
      </c>
      <c r="J15" s="22">
        <f>'INVOICE FOR CNY'!J15/6.79</f>
        <v>0.44182621502209102</v>
      </c>
      <c r="K15" s="22">
        <f t="shared" si="0"/>
        <v>4.4182621502209098</v>
      </c>
      <c r="L15" s="21">
        <v>731815</v>
      </c>
      <c r="M15" s="49" t="s">
        <v>52</v>
      </c>
      <c r="N15" s="39"/>
    </row>
    <row r="16" spans="1:14" s="33" customFormat="1" ht="32.1" customHeight="1">
      <c r="A16" s="15">
        <v>5</v>
      </c>
      <c r="B16" s="16" t="s">
        <v>28</v>
      </c>
      <c r="C16" s="17" t="s">
        <v>53</v>
      </c>
      <c r="D16" s="24" t="s">
        <v>30</v>
      </c>
      <c r="E16" s="16" t="s">
        <v>54</v>
      </c>
      <c r="F16" s="18" t="s">
        <v>55</v>
      </c>
      <c r="G16" s="16" t="s">
        <v>56</v>
      </c>
      <c r="H16" s="20">
        <v>2</v>
      </c>
      <c r="I16" s="21" t="s">
        <v>40</v>
      </c>
      <c r="J16" s="22">
        <f>'INVOICE FOR CNY'!J16/6.79</f>
        <v>7.5110456553755496</v>
      </c>
      <c r="K16" s="22">
        <f t="shared" si="0"/>
        <v>15.022091310751099</v>
      </c>
      <c r="L16" s="21">
        <v>731210</v>
      </c>
      <c r="M16" s="49" t="s">
        <v>57</v>
      </c>
      <c r="N16" s="39"/>
    </row>
    <row r="17" spans="1:14" s="33" customFormat="1" ht="32.1" customHeight="1">
      <c r="A17" s="15">
        <v>6</v>
      </c>
      <c r="B17" s="16" t="s">
        <v>28</v>
      </c>
      <c r="C17" s="17" t="s">
        <v>58</v>
      </c>
      <c r="D17" s="24" t="s">
        <v>30</v>
      </c>
      <c r="E17" s="16" t="s">
        <v>59</v>
      </c>
      <c r="F17" s="18" t="s">
        <v>60</v>
      </c>
      <c r="G17" s="16" t="s">
        <v>61</v>
      </c>
      <c r="H17" s="20">
        <v>5</v>
      </c>
      <c r="I17" s="21" t="s">
        <v>40</v>
      </c>
      <c r="J17" s="22">
        <f>'INVOICE FOR CNY'!J17/6.79</f>
        <v>6.4801178203240104</v>
      </c>
      <c r="K17" s="22">
        <f t="shared" si="0"/>
        <v>32.40058910162</v>
      </c>
      <c r="L17" s="21">
        <v>731815</v>
      </c>
      <c r="M17" s="49" t="s">
        <v>62</v>
      </c>
      <c r="N17" s="39"/>
    </row>
    <row r="18" spans="1:14" s="33" customFormat="1" ht="32.1" customHeight="1">
      <c r="A18" s="15">
        <v>7</v>
      </c>
      <c r="B18" s="16" t="s">
        <v>28</v>
      </c>
      <c r="C18" s="17" t="s">
        <v>63</v>
      </c>
      <c r="D18" s="24" t="s">
        <v>30</v>
      </c>
      <c r="E18" s="16" t="s">
        <v>64</v>
      </c>
      <c r="F18" s="18" t="s">
        <v>65</v>
      </c>
      <c r="G18" s="16" t="s">
        <v>66</v>
      </c>
      <c r="H18" s="20">
        <v>20</v>
      </c>
      <c r="I18" s="21" t="s">
        <v>40</v>
      </c>
      <c r="J18" s="22">
        <f>'INVOICE FOR CNY'!J18/6.79</f>
        <v>1.6200294550809999</v>
      </c>
      <c r="K18" s="22">
        <f t="shared" si="0"/>
        <v>32.40058910162</v>
      </c>
      <c r="L18" s="21">
        <v>732690</v>
      </c>
      <c r="M18" s="49" t="s">
        <v>67</v>
      </c>
      <c r="N18" s="39"/>
    </row>
    <row r="19" spans="1:14" s="33" customFormat="1" ht="32.1" customHeight="1">
      <c r="A19" s="15">
        <v>8</v>
      </c>
      <c r="B19" s="16" t="s">
        <v>28</v>
      </c>
      <c r="C19" s="17" t="s">
        <v>68</v>
      </c>
      <c r="D19" s="24" t="s">
        <v>30</v>
      </c>
      <c r="E19" s="16" t="s">
        <v>69</v>
      </c>
      <c r="F19" s="18" t="s">
        <v>70</v>
      </c>
      <c r="G19" s="16" t="s">
        <v>71</v>
      </c>
      <c r="H19" s="20">
        <v>20</v>
      </c>
      <c r="I19" s="21" t="s">
        <v>40</v>
      </c>
      <c r="J19" s="22">
        <f>'INVOICE FOR CNY'!J19/6.79</f>
        <v>1.7673048600883701</v>
      </c>
      <c r="K19" s="22">
        <f t="shared" si="0"/>
        <v>35.3460972017673</v>
      </c>
      <c r="L19" s="21">
        <v>732690</v>
      </c>
      <c r="M19" s="49" t="s">
        <v>72</v>
      </c>
      <c r="N19" s="39"/>
    </row>
    <row r="20" spans="1:14" s="33" customFormat="1" ht="32.1" customHeight="1">
      <c r="A20" s="15">
        <v>9</v>
      </c>
      <c r="B20" s="16" t="s">
        <v>28</v>
      </c>
      <c r="C20" s="17" t="s">
        <v>73</v>
      </c>
      <c r="D20" s="24" t="s">
        <v>30</v>
      </c>
      <c r="E20" s="16" t="s">
        <v>69</v>
      </c>
      <c r="F20" s="18" t="s">
        <v>74</v>
      </c>
      <c r="G20" s="16" t="s">
        <v>75</v>
      </c>
      <c r="H20" s="20">
        <v>50</v>
      </c>
      <c r="I20" s="21" t="s">
        <v>40</v>
      </c>
      <c r="J20" s="22">
        <f>'INVOICE FOR CNY'!J20/6.79</f>
        <v>1.91458026509573</v>
      </c>
      <c r="K20" s="22">
        <f t="shared" si="0"/>
        <v>95.729013254786494</v>
      </c>
      <c r="L20" s="21">
        <v>732690</v>
      </c>
      <c r="M20" s="49" t="s">
        <v>76</v>
      </c>
      <c r="N20" s="39"/>
    </row>
    <row r="21" spans="1:14" s="33" customFormat="1" ht="32.1" customHeight="1">
      <c r="A21" s="15">
        <v>10</v>
      </c>
      <c r="B21" s="16" t="s">
        <v>28</v>
      </c>
      <c r="C21" s="17" t="s">
        <v>77</v>
      </c>
      <c r="D21" s="24" t="s">
        <v>30</v>
      </c>
      <c r="E21" s="16" t="s">
        <v>78</v>
      </c>
      <c r="F21" s="18" t="s">
        <v>79</v>
      </c>
      <c r="G21" s="16" t="s">
        <v>80</v>
      </c>
      <c r="H21" s="20">
        <v>4</v>
      </c>
      <c r="I21" s="21" t="s">
        <v>40</v>
      </c>
      <c r="J21" s="22">
        <f>'INVOICE FOR CNY'!J21/6.79</f>
        <v>21.6494845360825</v>
      </c>
      <c r="K21" s="22">
        <f t="shared" si="0"/>
        <v>86.597938144329902</v>
      </c>
      <c r="L21" s="21">
        <v>870880</v>
      </c>
      <c r="M21" s="49" t="s">
        <v>81</v>
      </c>
      <c r="N21" s="39"/>
    </row>
    <row r="22" spans="1:14" s="33" customFormat="1" ht="32.1" customHeight="1">
      <c r="A22" s="15">
        <v>11</v>
      </c>
      <c r="B22" s="16" t="s">
        <v>28</v>
      </c>
      <c r="C22" s="17" t="s">
        <v>82</v>
      </c>
      <c r="D22" s="24" t="s">
        <v>30</v>
      </c>
      <c r="E22" s="16" t="s">
        <v>83</v>
      </c>
      <c r="F22" s="18">
        <v>4584002159</v>
      </c>
      <c r="G22" s="16" t="s">
        <v>84</v>
      </c>
      <c r="H22" s="20">
        <v>2</v>
      </c>
      <c r="I22" s="21" t="s">
        <v>40</v>
      </c>
      <c r="J22" s="22">
        <f>'INVOICE FOR CNY'!J22/6.79</f>
        <v>15.4639175257732</v>
      </c>
      <c r="K22" s="22">
        <f t="shared" si="0"/>
        <v>30.927835051546399</v>
      </c>
      <c r="L22" s="21">
        <v>732690</v>
      </c>
      <c r="M22" s="49" t="s">
        <v>85</v>
      </c>
      <c r="N22" s="39"/>
    </row>
    <row r="23" spans="1:14" s="33" customFormat="1" ht="32.1" customHeight="1">
      <c r="A23" s="15">
        <v>12</v>
      </c>
      <c r="B23" s="16" t="s">
        <v>28</v>
      </c>
      <c r="C23" s="17" t="s">
        <v>86</v>
      </c>
      <c r="D23" s="24" t="s">
        <v>30</v>
      </c>
      <c r="E23" s="16" t="s">
        <v>87</v>
      </c>
      <c r="F23" s="18">
        <v>4584002158</v>
      </c>
      <c r="G23" s="16" t="s">
        <v>88</v>
      </c>
      <c r="H23" s="20">
        <v>2</v>
      </c>
      <c r="I23" s="21" t="s">
        <v>40</v>
      </c>
      <c r="J23" s="22">
        <f>'INVOICE FOR CNY'!J23/6.79</f>
        <v>15.4639175257732</v>
      </c>
      <c r="K23" s="22">
        <f t="shared" si="0"/>
        <v>30.927835051546399</v>
      </c>
      <c r="L23" s="21">
        <v>732690</v>
      </c>
      <c r="M23" s="49" t="s">
        <v>89</v>
      </c>
      <c r="N23" s="39"/>
    </row>
    <row r="24" spans="1:14" s="33" customFormat="1" ht="32.1" customHeight="1">
      <c r="A24" s="15">
        <v>13</v>
      </c>
      <c r="B24" s="16" t="s">
        <v>28</v>
      </c>
      <c r="C24" s="17" t="s">
        <v>90</v>
      </c>
      <c r="D24" s="24" t="s">
        <v>30</v>
      </c>
      <c r="E24" s="16" t="s">
        <v>91</v>
      </c>
      <c r="F24" s="18" t="s">
        <v>92</v>
      </c>
      <c r="G24" s="16" t="s">
        <v>93</v>
      </c>
      <c r="H24" s="20">
        <v>2</v>
      </c>
      <c r="I24" s="21" t="s">
        <v>40</v>
      </c>
      <c r="J24" s="22">
        <f>'INVOICE FOR CNY'!J24/6.79</f>
        <v>2.5036818851251801</v>
      </c>
      <c r="K24" s="22">
        <f t="shared" si="0"/>
        <v>5.0073637702503699</v>
      </c>
      <c r="L24" s="21">
        <v>853690</v>
      </c>
      <c r="M24" s="49" t="s">
        <v>94</v>
      </c>
      <c r="N24" s="39"/>
    </row>
    <row r="25" spans="1:14" s="33" customFormat="1" ht="32.1" customHeight="1">
      <c r="A25" s="15">
        <v>14</v>
      </c>
      <c r="B25" s="16" t="s">
        <v>28</v>
      </c>
      <c r="C25" s="17" t="s">
        <v>95</v>
      </c>
      <c r="D25" s="24" t="s">
        <v>30</v>
      </c>
      <c r="E25" s="16" t="s">
        <v>96</v>
      </c>
      <c r="F25" s="18" t="s">
        <v>97</v>
      </c>
      <c r="G25" s="16" t="s">
        <v>98</v>
      </c>
      <c r="H25" s="20">
        <v>3</v>
      </c>
      <c r="I25" s="21" t="s">
        <v>40</v>
      </c>
      <c r="J25" s="22">
        <f>'INVOICE FOR CNY'!J25/6.79</f>
        <v>73.932253313696606</v>
      </c>
      <c r="K25" s="22">
        <f t="shared" si="0"/>
        <v>221.79675994108999</v>
      </c>
      <c r="L25" s="21">
        <v>732690</v>
      </c>
      <c r="M25" s="49" t="s">
        <v>99</v>
      </c>
      <c r="N25" s="39"/>
    </row>
    <row r="26" spans="1:14" s="33" customFormat="1" ht="32.1" customHeight="1">
      <c r="A26" s="15">
        <v>15</v>
      </c>
      <c r="B26" s="16" t="s">
        <v>28</v>
      </c>
      <c r="C26" s="17" t="s">
        <v>100</v>
      </c>
      <c r="D26" s="24" t="s">
        <v>30</v>
      </c>
      <c r="E26" s="16" t="s">
        <v>101</v>
      </c>
      <c r="F26" s="18">
        <v>4553006658</v>
      </c>
      <c r="G26" s="16" t="s">
        <v>102</v>
      </c>
      <c r="H26" s="20">
        <v>2</v>
      </c>
      <c r="I26" s="21" t="s">
        <v>40</v>
      </c>
      <c r="J26" s="22">
        <f>'INVOICE FOR CNY'!J26/6.79</f>
        <v>53.755522827687798</v>
      </c>
      <c r="K26" s="22">
        <f t="shared" si="0"/>
        <v>107.51104565537599</v>
      </c>
      <c r="L26" s="21">
        <v>853710</v>
      </c>
      <c r="M26" s="49" t="s">
        <v>103</v>
      </c>
      <c r="N26" s="39"/>
    </row>
    <row r="27" spans="1:14" s="33" customFormat="1" ht="32.1" customHeight="1">
      <c r="A27" s="15">
        <v>16</v>
      </c>
      <c r="B27" s="16" t="s">
        <v>28</v>
      </c>
      <c r="C27" s="17" t="s">
        <v>104</v>
      </c>
      <c r="D27" s="24" t="s">
        <v>30</v>
      </c>
      <c r="E27" s="16" t="s">
        <v>105</v>
      </c>
      <c r="F27" s="18">
        <v>4553006662</v>
      </c>
      <c r="G27" s="16" t="s">
        <v>106</v>
      </c>
      <c r="H27" s="20">
        <v>2</v>
      </c>
      <c r="I27" s="21" t="s">
        <v>40</v>
      </c>
      <c r="J27" s="22">
        <f>'INVOICE FOR CNY'!J27/6.79</f>
        <v>22.680412371134</v>
      </c>
      <c r="K27" s="22">
        <f t="shared" si="0"/>
        <v>45.360824742268001</v>
      </c>
      <c r="L27" s="21">
        <v>870829</v>
      </c>
      <c r="M27" s="49" t="s">
        <v>107</v>
      </c>
      <c r="N27" s="39"/>
    </row>
    <row r="28" spans="1:14" s="33" customFormat="1" ht="32.1" customHeight="1">
      <c r="A28" s="15">
        <v>17</v>
      </c>
      <c r="B28" s="16" t="s">
        <v>28</v>
      </c>
      <c r="C28" s="17" t="s">
        <v>108</v>
      </c>
      <c r="D28" s="24" t="s">
        <v>30</v>
      </c>
      <c r="E28" s="16" t="s">
        <v>109</v>
      </c>
      <c r="F28" s="18" t="s">
        <v>110</v>
      </c>
      <c r="G28" s="16" t="s">
        <v>111</v>
      </c>
      <c r="H28" s="20">
        <v>2</v>
      </c>
      <c r="I28" s="21" t="s">
        <v>40</v>
      </c>
      <c r="J28" s="22">
        <f>'INVOICE FOR CNY'!J28/6.79</f>
        <v>9.2783505154639201</v>
      </c>
      <c r="K28" s="22">
        <f t="shared" si="0"/>
        <v>18.556701030927801</v>
      </c>
      <c r="L28" s="21">
        <v>853650</v>
      </c>
      <c r="M28" s="49" t="s">
        <v>112</v>
      </c>
      <c r="N28" s="39"/>
    </row>
    <row r="29" spans="1:14" s="33" customFormat="1" ht="32.1" customHeight="1">
      <c r="A29" s="15">
        <v>18</v>
      </c>
      <c r="B29" s="16" t="s">
        <v>28</v>
      </c>
      <c r="C29" s="17" t="s">
        <v>113</v>
      </c>
      <c r="D29" s="24" t="s">
        <v>30</v>
      </c>
      <c r="E29" s="16" t="s">
        <v>114</v>
      </c>
      <c r="F29" s="18" t="s">
        <v>115</v>
      </c>
      <c r="G29" s="16" t="s">
        <v>116</v>
      </c>
      <c r="H29" s="20">
        <v>4</v>
      </c>
      <c r="I29" s="21" t="s">
        <v>40</v>
      </c>
      <c r="J29" s="22">
        <f>'INVOICE FOR CNY'!J29/6.79</f>
        <v>10.1620029455081</v>
      </c>
      <c r="K29" s="22">
        <f t="shared" si="0"/>
        <v>40.648011782032398</v>
      </c>
      <c r="L29" s="21">
        <v>853690</v>
      </c>
      <c r="M29" s="49" t="s">
        <v>117</v>
      </c>
      <c r="N29" s="39"/>
    </row>
    <row r="30" spans="1:14" s="33" customFormat="1" ht="32.1" customHeight="1">
      <c r="A30" s="15">
        <v>19</v>
      </c>
      <c r="B30" s="16" t="s">
        <v>28</v>
      </c>
      <c r="C30" s="17" t="s">
        <v>118</v>
      </c>
      <c r="D30" s="24" t="s">
        <v>30</v>
      </c>
      <c r="E30" s="16" t="s">
        <v>119</v>
      </c>
      <c r="F30" s="18" t="s">
        <v>120</v>
      </c>
      <c r="G30" s="16" t="s">
        <v>121</v>
      </c>
      <c r="H30" s="20">
        <v>3</v>
      </c>
      <c r="I30" s="21" t="s">
        <v>40</v>
      </c>
      <c r="J30" s="22">
        <f>'INVOICE FOR CNY'!J30/6.79</f>
        <v>43.004418262150203</v>
      </c>
      <c r="K30" s="22">
        <f t="shared" si="0"/>
        <v>129.013254786451</v>
      </c>
      <c r="L30" s="21">
        <v>732690</v>
      </c>
      <c r="M30" s="49" t="s">
        <v>122</v>
      </c>
      <c r="N30" s="39"/>
    </row>
    <row r="31" spans="1:14" s="33" customFormat="1" ht="32.1" customHeight="1">
      <c r="A31" s="15">
        <v>20</v>
      </c>
      <c r="B31" s="16" t="s">
        <v>28</v>
      </c>
      <c r="C31" s="17" t="s">
        <v>123</v>
      </c>
      <c r="D31" s="24" t="s">
        <v>30</v>
      </c>
      <c r="E31" s="16" t="s">
        <v>124</v>
      </c>
      <c r="F31" s="18">
        <v>4581007526</v>
      </c>
      <c r="G31" s="16" t="s">
        <v>125</v>
      </c>
      <c r="H31" s="20">
        <v>3</v>
      </c>
      <c r="I31" s="21" t="s">
        <v>40</v>
      </c>
      <c r="J31" s="22">
        <f>'INVOICE FOR CNY'!J31/6.79</f>
        <v>13.254786450662699</v>
      </c>
      <c r="K31" s="22">
        <f t="shared" si="0"/>
        <v>39.764359351988197</v>
      </c>
      <c r="L31" s="21">
        <v>400921</v>
      </c>
      <c r="M31" s="49" t="s">
        <v>126</v>
      </c>
      <c r="N31" s="39"/>
    </row>
    <row r="32" spans="1:14" s="33" customFormat="1" ht="32.1" customHeight="1">
      <c r="A32" s="15">
        <v>21</v>
      </c>
      <c r="B32" s="16" t="s">
        <v>28</v>
      </c>
      <c r="C32" s="17" t="s">
        <v>127</v>
      </c>
      <c r="D32" s="24" t="s">
        <v>30</v>
      </c>
      <c r="E32" s="16" t="s">
        <v>128</v>
      </c>
      <c r="F32" s="18">
        <v>4581007525</v>
      </c>
      <c r="G32" s="16" t="s">
        <v>129</v>
      </c>
      <c r="H32" s="20">
        <v>3</v>
      </c>
      <c r="I32" s="21" t="s">
        <v>40</v>
      </c>
      <c r="J32" s="22">
        <f>'INVOICE FOR CNY'!J32/6.79</f>
        <v>10.6038291605302</v>
      </c>
      <c r="K32" s="22">
        <f t="shared" si="0"/>
        <v>31.8114874815906</v>
      </c>
      <c r="L32" s="21">
        <v>854430</v>
      </c>
      <c r="M32" s="49" t="s">
        <v>130</v>
      </c>
      <c r="N32" s="39"/>
    </row>
    <row r="33" spans="1:14" s="33" customFormat="1" ht="32.1" customHeight="1">
      <c r="A33" s="15">
        <v>22</v>
      </c>
      <c r="B33" s="16" t="s">
        <v>28</v>
      </c>
      <c r="C33" s="17" t="s">
        <v>131</v>
      </c>
      <c r="D33" s="24" t="s">
        <v>30</v>
      </c>
      <c r="E33" s="16" t="s">
        <v>132</v>
      </c>
      <c r="F33" s="18">
        <v>4581007527</v>
      </c>
      <c r="G33" s="16" t="s">
        <v>133</v>
      </c>
      <c r="H33" s="20">
        <v>3</v>
      </c>
      <c r="I33" s="21" t="s">
        <v>40</v>
      </c>
      <c r="J33" s="22">
        <f>'INVOICE FOR CNY'!J33/6.79</f>
        <v>10.1620029455081</v>
      </c>
      <c r="K33" s="22">
        <f t="shared" si="0"/>
        <v>30.486008836524299</v>
      </c>
      <c r="L33" s="21">
        <v>400921</v>
      </c>
      <c r="M33" s="49" t="s">
        <v>134</v>
      </c>
      <c r="N33" s="39"/>
    </row>
    <row r="34" spans="1:14" s="33" customFormat="1" ht="32.1" customHeight="1">
      <c r="A34" s="15">
        <v>23</v>
      </c>
      <c r="B34" s="16" t="s">
        <v>28</v>
      </c>
      <c r="C34" s="17" t="s">
        <v>135</v>
      </c>
      <c r="D34" s="24" t="s">
        <v>30</v>
      </c>
      <c r="E34" s="16" t="s">
        <v>136</v>
      </c>
      <c r="F34" s="18" t="s">
        <v>137</v>
      </c>
      <c r="G34" s="16" t="s">
        <v>138</v>
      </c>
      <c r="H34" s="20">
        <v>3</v>
      </c>
      <c r="I34" s="21" t="s">
        <v>40</v>
      </c>
      <c r="J34" s="22">
        <f>'INVOICE FOR CNY'!J34/6.79</f>
        <v>7.5110456553755496</v>
      </c>
      <c r="K34" s="22">
        <f t="shared" si="0"/>
        <v>22.533136966126701</v>
      </c>
      <c r="L34" s="21">
        <v>853690</v>
      </c>
      <c r="M34" s="49" t="s">
        <v>139</v>
      </c>
      <c r="N34" s="39"/>
    </row>
    <row r="35" spans="1:14" s="33" customFormat="1" ht="32.1" customHeight="1">
      <c r="A35" s="15">
        <v>24</v>
      </c>
      <c r="B35" s="16" t="s">
        <v>28</v>
      </c>
      <c r="C35" s="17" t="s">
        <v>140</v>
      </c>
      <c r="D35" s="24" t="s">
        <v>30</v>
      </c>
      <c r="E35" s="16" t="s">
        <v>141</v>
      </c>
      <c r="F35" s="18" t="s">
        <v>142</v>
      </c>
      <c r="G35" s="16" t="s">
        <v>143</v>
      </c>
      <c r="H35" s="20">
        <v>3</v>
      </c>
      <c r="I35" s="21" t="s">
        <v>40</v>
      </c>
      <c r="J35" s="22">
        <f>'INVOICE FOR CNY'!J35/6.79</f>
        <v>1.3254786450662699</v>
      </c>
      <c r="K35" s="22">
        <f t="shared" si="0"/>
        <v>3.9764359351988201</v>
      </c>
      <c r="L35" s="21">
        <v>853690</v>
      </c>
      <c r="M35" s="49" t="s">
        <v>144</v>
      </c>
      <c r="N35" s="39"/>
    </row>
    <row r="36" spans="1:14" s="33" customFormat="1" ht="32.1" customHeight="1">
      <c r="A36" s="15">
        <v>25</v>
      </c>
      <c r="B36" s="16" t="s">
        <v>28</v>
      </c>
      <c r="C36" s="17" t="s">
        <v>145</v>
      </c>
      <c r="D36" s="24" t="s">
        <v>30</v>
      </c>
      <c r="E36" s="16" t="s">
        <v>146</v>
      </c>
      <c r="F36" s="18" t="s">
        <v>147</v>
      </c>
      <c r="G36" s="16" t="s">
        <v>148</v>
      </c>
      <c r="H36" s="20">
        <v>3</v>
      </c>
      <c r="I36" s="21" t="s">
        <v>40</v>
      </c>
      <c r="J36" s="22">
        <f>'INVOICE FOR CNY'!J36/6.79</f>
        <v>4.7128129602356399</v>
      </c>
      <c r="K36" s="22">
        <f t="shared" si="0"/>
        <v>14.1384388807069</v>
      </c>
      <c r="L36" s="21">
        <v>853710</v>
      </c>
      <c r="M36" s="49" t="s">
        <v>149</v>
      </c>
      <c r="N36" s="39"/>
    </row>
    <row r="37" spans="1:14" s="33" customFormat="1" ht="32.1" customHeight="1">
      <c r="A37" s="15">
        <v>26</v>
      </c>
      <c r="B37" s="16" t="s">
        <v>28</v>
      </c>
      <c r="C37" s="17" t="s">
        <v>150</v>
      </c>
      <c r="D37" s="24" t="s">
        <v>30</v>
      </c>
      <c r="E37" s="16" t="s">
        <v>151</v>
      </c>
      <c r="F37" s="18" t="s">
        <v>152</v>
      </c>
      <c r="G37" s="16" t="s">
        <v>153</v>
      </c>
      <c r="H37" s="20">
        <v>5</v>
      </c>
      <c r="I37" s="21" t="s">
        <v>40</v>
      </c>
      <c r="J37" s="22">
        <f>'INVOICE FOR CNY'!J37/6.79</f>
        <v>1.91458026509573</v>
      </c>
      <c r="K37" s="22">
        <f t="shared" si="0"/>
        <v>9.5729013254786395</v>
      </c>
      <c r="L37" s="21">
        <v>853710</v>
      </c>
      <c r="M37" s="49" t="s">
        <v>154</v>
      </c>
      <c r="N37" s="39"/>
    </row>
    <row r="38" spans="1:14" s="33" customFormat="1" ht="32.1" customHeight="1">
      <c r="A38" s="15">
        <v>27</v>
      </c>
      <c r="B38" s="16" t="s">
        <v>28</v>
      </c>
      <c r="C38" s="17" t="s">
        <v>155</v>
      </c>
      <c r="D38" s="24" t="s">
        <v>30</v>
      </c>
      <c r="E38" s="16" t="s">
        <v>156</v>
      </c>
      <c r="F38" s="18" t="s">
        <v>157</v>
      </c>
      <c r="G38" s="16" t="s">
        <v>158</v>
      </c>
      <c r="H38" s="20">
        <v>5</v>
      </c>
      <c r="I38" s="21" t="s">
        <v>40</v>
      </c>
      <c r="J38" s="22">
        <f>'INVOICE FOR CNY'!J38/6.79</f>
        <v>2.2091310751104598</v>
      </c>
      <c r="K38" s="22">
        <f t="shared" si="0"/>
        <v>11.0456553755523</v>
      </c>
      <c r="L38" s="21">
        <v>853710</v>
      </c>
      <c r="M38" s="49" t="s">
        <v>159</v>
      </c>
      <c r="N38" s="39"/>
    </row>
    <row r="39" spans="1:14" s="33" customFormat="1" ht="32.1" customHeight="1">
      <c r="A39" s="15">
        <v>28</v>
      </c>
      <c r="B39" s="16" t="s">
        <v>28</v>
      </c>
      <c r="C39" s="17" t="s">
        <v>160</v>
      </c>
      <c r="D39" s="24" t="s">
        <v>30</v>
      </c>
      <c r="E39" s="16" t="s">
        <v>161</v>
      </c>
      <c r="F39" s="18" t="s">
        <v>162</v>
      </c>
      <c r="G39" s="16" t="s">
        <v>163</v>
      </c>
      <c r="H39" s="20">
        <v>20</v>
      </c>
      <c r="I39" s="21" t="s">
        <v>40</v>
      </c>
      <c r="J39" s="22">
        <f>'INVOICE FOR CNY'!J39/6.79</f>
        <v>1.17820324005891</v>
      </c>
      <c r="K39" s="22">
        <f t="shared" si="0"/>
        <v>23.564064801178201</v>
      </c>
      <c r="L39" s="21">
        <v>732690</v>
      </c>
      <c r="M39" s="49" t="s">
        <v>164</v>
      </c>
      <c r="N39" s="39"/>
    </row>
    <row r="40" spans="1:14" s="33" customFormat="1" ht="32.1" customHeight="1">
      <c r="A40" s="15">
        <v>29</v>
      </c>
      <c r="B40" s="16" t="s">
        <v>28</v>
      </c>
      <c r="C40" s="17" t="s">
        <v>165</v>
      </c>
      <c r="D40" s="24" t="s">
        <v>30</v>
      </c>
      <c r="E40" s="16" t="s">
        <v>166</v>
      </c>
      <c r="F40" s="18">
        <v>4535004234</v>
      </c>
      <c r="G40" s="16" t="s">
        <v>167</v>
      </c>
      <c r="H40" s="20">
        <v>2</v>
      </c>
      <c r="I40" s="21" t="s">
        <v>40</v>
      </c>
      <c r="J40" s="22">
        <f>'INVOICE FOR CNY'!J40/6.79</f>
        <v>9.4256259204712798</v>
      </c>
      <c r="K40" s="22">
        <f t="shared" si="0"/>
        <v>18.851251840942599</v>
      </c>
      <c r="L40" s="21">
        <v>400921</v>
      </c>
      <c r="M40" s="49" t="s">
        <v>168</v>
      </c>
      <c r="N40" s="39"/>
    </row>
    <row r="41" spans="1:14" s="33" customFormat="1" ht="32.1" customHeight="1">
      <c r="A41" s="15">
        <v>30</v>
      </c>
      <c r="B41" s="16" t="s">
        <v>28</v>
      </c>
      <c r="C41" s="17" t="s">
        <v>169</v>
      </c>
      <c r="D41" s="24" t="s">
        <v>30</v>
      </c>
      <c r="E41" s="16" t="s">
        <v>170</v>
      </c>
      <c r="F41" s="18" t="s">
        <v>171</v>
      </c>
      <c r="G41" s="16" t="s">
        <v>172</v>
      </c>
      <c r="H41" s="20">
        <v>2</v>
      </c>
      <c r="I41" s="21" t="s">
        <v>40</v>
      </c>
      <c r="J41" s="22">
        <f>'INVOICE FOR CNY'!J41/6.79</f>
        <v>33.136966126656901</v>
      </c>
      <c r="K41" s="22">
        <f t="shared" si="0"/>
        <v>66.273932253313703</v>
      </c>
      <c r="L41" s="21">
        <v>842131</v>
      </c>
      <c r="M41" s="49" t="s">
        <v>173</v>
      </c>
      <c r="N41" s="39"/>
    </row>
    <row r="42" spans="1:14" s="33" customFormat="1" ht="32.1" customHeight="1">
      <c r="A42" s="15">
        <v>31</v>
      </c>
      <c r="B42" s="16" t="s">
        <v>28</v>
      </c>
      <c r="C42" s="17" t="s">
        <v>174</v>
      </c>
      <c r="D42" s="24" t="s">
        <v>30</v>
      </c>
      <c r="E42" s="16" t="s">
        <v>175</v>
      </c>
      <c r="F42" s="18" t="s">
        <v>176</v>
      </c>
      <c r="G42" s="16" t="s">
        <v>177</v>
      </c>
      <c r="H42" s="20">
        <v>2</v>
      </c>
      <c r="I42" s="21" t="s">
        <v>40</v>
      </c>
      <c r="J42" s="22">
        <f>'INVOICE FOR CNY'!J42/6.79</f>
        <v>53.313696612665701</v>
      </c>
      <c r="K42" s="22">
        <f t="shared" si="0"/>
        <v>106.62739322533101</v>
      </c>
      <c r="L42" s="21">
        <v>732690</v>
      </c>
      <c r="M42" s="49" t="s">
        <v>178</v>
      </c>
      <c r="N42" s="39"/>
    </row>
    <row r="43" spans="1:14" s="33" customFormat="1" ht="32.1" customHeight="1">
      <c r="A43" s="15">
        <v>32</v>
      </c>
      <c r="B43" s="16" t="s">
        <v>28</v>
      </c>
      <c r="C43" s="17" t="s">
        <v>174</v>
      </c>
      <c r="D43" s="24" t="s">
        <v>30</v>
      </c>
      <c r="E43" s="16" t="s">
        <v>175</v>
      </c>
      <c r="F43" s="18" t="s">
        <v>179</v>
      </c>
      <c r="G43" s="16" t="s">
        <v>180</v>
      </c>
      <c r="H43" s="20">
        <v>2</v>
      </c>
      <c r="I43" s="21" t="s">
        <v>40</v>
      </c>
      <c r="J43" s="22">
        <f>'INVOICE FOR CNY'!J43/6.79</f>
        <v>59.499263622975</v>
      </c>
      <c r="K43" s="22">
        <f t="shared" si="0"/>
        <v>118.99852724595</v>
      </c>
      <c r="L43" s="21">
        <v>732690</v>
      </c>
      <c r="M43" s="49" t="s">
        <v>181</v>
      </c>
      <c r="N43" s="39"/>
    </row>
    <row r="44" spans="1:14" s="33" customFormat="1" ht="32.1" customHeight="1">
      <c r="A44" s="15">
        <v>33</v>
      </c>
      <c r="B44" s="16" t="s">
        <v>28</v>
      </c>
      <c r="C44" s="17" t="s">
        <v>182</v>
      </c>
      <c r="D44" s="24" t="s">
        <v>30</v>
      </c>
      <c r="E44" s="16" t="s">
        <v>183</v>
      </c>
      <c r="F44" s="18" t="s">
        <v>184</v>
      </c>
      <c r="G44" s="16" t="s">
        <v>185</v>
      </c>
      <c r="H44" s="20">
        <v>12</v>
      </c>
      <c r="I44" s="21" t="s">
        <v>40</v>
      </c>
      <c r="J44" s="22">
        <f>'INVOICE FOR CNY'!J44/6.79</f>
        <v>0.73637702503681901</v>
      </c>
      <c r="K44" s="22">
        <f t="shared" si="0"/>
        <v>8.8365243004418303</v>
      </c>
      <c r="L44" s="21">
        <v>731815</v>
      </c>
      <c r="M44" s="49" t="s">
        <v>186</v>
      </c>
      <c r="N44" s="39"/>
    </row>
    <row r="45" spans="1:14" s="33" customFormat="1" ht="32.1" customHeight="1">
      <c r="A45" s="15">
        <v>34</v>
      </c>
      <c r="B45" s="16" t="s">
        <v>28</v>
      </c>
      <c r="C45" s="17" t="s">
        <v>187</v>
      </c>
      <c r="D45" s="24" t="s">
        <v>30</v>
      </c>
      <c r="E45" s="16" t="s">
        <v>188</v>
      </c>
      <c r="F45" s="18" t="s">
        <v>189</v>
      </c>
      <c r="G45" s="16" t="s">
        <v>190</v>
      </c>
      <c r="H45" s="20">
        <v>20</v>
      </c>
      <c r="I45" s="21" t="s">
        <v>40</v>
      </c>
      <c r="J45" s="22">
        <f>'INVOICE FOR CNY'!J45/6.79</f>
        <v>2.3564064801178199</v>
      </c>
      <c r="K45" s="22">
        <f t="shared" ref="K45:K76" si="1">H45*J45</f>
        <v>47.128129602356402</v>
      </c>
      <c r="L45" s="21">
        <v>732690</v>
      </c>
      <c r="M45" s="49" t="s">
        <v>191</v>
      </c>
      <c r="N45" s="39"/>
    </row>
    <row r="46" spans="1:14" s="33" customFormat="1" ht="32.1" customHeight="1">
      <c r="A46" s="15">
        <v>35</v>
      </c>
      <c r="B46" s="16" t="s">
        <v>28</v>
      </c>
      <c r="C46" s="17" t="s">
        <v>192</v>
      </c>
      <c r="D46" s="24" t="s">
        <v>30</v>
      </c>
      <c r="E46" s="16" t="s">
        <v>193</v>
      </c>
      <c r="F46" s="18" t="s">
        <v>194</v>
      </c>
      <c r="G46" s="16" t="s">
        <v>195</v>
      </c>
      <c r="H46" s="20">
        <v>10</v>
      </c>
      <c r="I46" s="21" t="s">
        <v>40</v>
      </c>
      <c r="J46" s="22">
        <f>'INVOICE FOR CNY'!J46/6.79</f>
        <v>2.2091310751104598</v>
      </c>
      <c r="K46" s="22">
        <f t="shared" si="1"/>
        <v>22.091310751104601</v>
      </c>
      <c r="L46" s="21">
        <v>400941</v>
      </c>
      <c r="M46" s="49" t="s">
        <v>196</v>
      </c>
      <c r="N46" s="39"/>
    </row>
    <row r="47" spans="1:14" s="33" customFormat="1" ht="32.1" customHeight="1">
      <c r="A47" s="15">
        <v>36</v>
      </c>
      <c r="B47" s="16" t="s">
        <v>28</v>
      </c>
      <c r="C47" s="17" t="s">
        <v>197</v>
      </c>
      <c r="D47" s="24" t="s">
        <v>30</v>
      </c>
      <c r="E47" s="16" t="s">
        <v>198</v>
      </c>
      <c r="F47" s="18" t="s">
        <v>199</v>
      </c>
      <c r="G47" s="16" t="s">
        <v>200</v>
      </c>
      <c r="H47" s="20">
        <v>3</v>
      </c>
      <c r="I47" s="21" t="s">
        <v>40</v>
      </c>
      <c r="J47" s="22">
        <f>'INVOICE FOR CNY'!J47/6.79</f>
        <v>3.6818851251840901</v>
      </c>
      <c r="K47" s="22">
        <f t="shared" si="1"/>
        <v>11.0456553755523</v>
      </c>
      <c r="L47" s="21">
        <v>848180</v>
      </c>
      <c r="M47" s="49" t="s">
        <v>201</v>
      </c>
      <c r="N47" s="39"/>
    </row>
    <row r="48" spans="1:14" s="33" customFormat="1" ht="32.1" customHeight="1">
      <c r="A48" s="15">
        <v>37</v>
      </c>
      <c r="B48" s="16" t="s">
        <v>28</v>
      </c>
      <c r="C48" s="17" t="s">
        <v>202</v>
      </c>
      <c r="D48" s="24" t="s">
        <v>30</v>
      </c>
      <c r="E48" s="16" t="s">
        <v>203</v>
      </c>
      <c r="F48" s="18" t="s">
        <v>204</v>
      </c>
      <c r="G48" s="16" t="s">
        <v>205</v>
      </c>
      <c r="H48" s="20">
        <v>50</v>
      </c>
      <c r="I48" s="21" t="s">
        <v>40</v>
      </c>
      <c r="J48" s="22">
        <f>'INVOICE FOR CNY'!J48/6.79</f>
        <v>2.0618556701030899</v>
      </c>
      <c r="K48" s="22">
        <f t="shared" si="1"/>
        <v>103.092783505155</v>
      </c>
      <c r="L48" s="21">
        <v>732690</v>
      </c>
      <c r="M48" s="49" t="s">
        <v>206</v>
      </c>
      <c r="N48" s="39"/>
    </row>
    <row r="49" spans="1:14" s="33" customFormat="1" ht="32.1" customHeight="1">
      <c r="A49" s="15">
        <v>38</v>
      </c>
      <c r="B49" s="16" t="s">
        <v>28</v>
      </c>
      <c r="C49" s="17" t="s">
        <v>207</v>
      </c>
      <c r="D49" s="24" t="s">
        <v>30</v>
      </c>
      <c r="E49" s="16" t="s">
        <v>208</v>
      </c>
      <c r="F49" s="18">
        <v>4535015390</v>
      </c>
      <c r="G49" s="16" t="s">
        <v>209</v>
      </c>
      <c r="H49" s="20">
        <v>2</v>
      </c>
      <c r="I49" s="21" t="s">
        <v>40</v>
      </c>
      <c r="J49" s="22">
        <f>'INVOICE FOR CNY'!J49/6.79</f>
        <v>72.7540500736377</v>
      </c>
      <c r="K49" s="22">
        <f t="shared" si="1"/>
        <v>145.508100147275</v>
      </c>
      <c r="L49" s="21">
        <v>854430</v>
      </c>
      <c r="M49" s="49" t="s">
        <v>210</v>
      </c>
      <c r="N49" s="39"/>
    </row>
    <row r="50" spans="1:14" s="33" customFormat="1" ht="32.1" customHeight="1">
      <c r="A50" s="15">
        <v>39</v>
      </c>
      <c r="B50" s="16" t="s">
        <v>28</v>
      </c>
      <c r="C50" s="17" t="s">
        <v>211</v>
      </c>
      <c r="D50" s="24" t="s">
        <v>30</v>
      </c>
      <c r="E50" s="16" t="s">
        <v>212</v>
      </c>
      <c r="F50" s="18">
        <v>4537009506</v>
      </c>
      <c r="G50" s="16" t="s">
        <v>213</v>
      </c>
      <c r="H50" s="20">
        <v>5</v>
      </c>
      <c r="I50" s="21" t="s">
        <v>40</v>
      </c>
      <c r="J50" s="22">
        <f>'INVOICE FOR CNY'!J50/6.79</f>
        <v>20.1767304860088</v>
      </c>
      <c r="K50" s="22">
        <f t="shared" si="1"/>
        <v>100.88365243004399</v>
      </c>
      <c r="L50" s="21">
        <v>853690</v>
      </c>
      <c r="M50" s="49" t="s">
        <v>214</v>
      </c>
      <c r="N50" s="39"/>
    </row>
    <row r="51" spans="1:14" s="33" customFormat="1" ht="32.1" customHeight="1">
      <c r="A51" s="15">
        <v>40</v>
      </c>
      <c r="B51" s="16" t="s">
        <v>28</v>
      </c>
      <c r="C51" s="17" t="s">
        <v>215</v>
      </c>
      <c r="D51" s="24" t="s">
        <v>30</v>
      </c>
      <c r="E51" s="16" t="s">
        <v>216</v>
      </c>
      <c r="F51" s="18" t="s">
        <v>217</v>
      </c>
      <c r="G51" s="16" t="s">
        <v>218</v>
      </c>
      <c r="H51" s="20">
        <v>5</v>
      </c>
      <c r="I51" s="21" t="s">
        <v>40</v>
      </c>
      <c r="J51" s="22">
        <f>'INVOICE FOR CNY'!J51/6.79</f>
        <v>3.5346097201767299</v>
      </c>
      <c r="K51" s="22">
        <f t="shared" si="1"/>
        <v>17.6730486008837</v>
      </c>
      <c r="L51" s="21">
        <v>853710</v>
      </c>
      <c r="M51" s="49" t="s">
        <v>219</v>
      </c>
      <c r="N51" s="39"/>
    </row>
    <row r="52" spans="1:14" s="33" customFormat="1" ht="32.1" customHeight="1">
      <c r="A52" s="15">
        <v>41</v>
      </c>
      <c r="B52" s="16" t="s">
        <v>28</v>
      </c>
      <c r="C52" s="17" t="s">
        <v>215</v>
      </c>
      <c r="D52" s="24" t="s">
        <v>30</v>
      </c>
      <c r="E52" s="16" t="s">
        <v>220</v>
      </c>
      <c r="F52" s="18" t="s">
        <v>221</v>
      </c>
      <c r="G52" s="16" t="s">
        <v>222</v>
      </c>
      <c r="H52" s="20">
        <v>5</v>
      </c>
      <c r="I52" s="21" t="s">
        <v>40</v>
      </c>
      <c r="J52" s="22">
        <f>'INVOICE FOR CNY'!J52/6.79</f>
        <v>4.5655375552282802</v>
      </c>
      <c r="K52" s="22">
        <f t="shared" si="1"/>
        <v>22.827687776141399</v>
      </c>
      <c r="L52" s="21">
        <v>853710</v>
      </c>
      <c r="M52" s="49" t="s">
        <v>223</v>
      </c>
      <c r="N52" s="39"/>
    </row>
    <row r="53" spans="1:14" s="33" customFormat="1" ht="32.1" customHeight="1">
      <c r="A53" s="15">
        <v>42</v>
      </c>
      <c r="B53" s="16" t="s">
        <v>28</v>
      </c>
      <c r="C53" s="17" t="s">
        <v>224</v>
      </c>
      <c r="D53" s="24" t="s">
        <v>30</v>
      </c>
      <c r="E53" s="16" t="s">
        <v>225</v>
      </c>
      <c r="F53" s="18" t="s">
        <v>226</v>
      </c>
      <c r="G53" s="16" t="s">
        <v>227</v>
      </c>
      <c r="H53" s="20">
        <v>2</v>
      </c>
      <c r="I53" s="21" t="s">
        <v>40</v>
      </c>
      <c r="J53" s="22">
        <f>'INVOICE FOR CNY'!J53/6.79</f>
        <v>71.134020618556704</v>
      </c>
      <c r="K53" s="22">
        <f t="shared" si="1"/>
        <v>142.26804123711301</v>
      </c>
      <c r="L53" s="21">
        <v>870850</v>
      </c>
      <c r="M53" s="49" t="s">
        <v>228</v>
      </c>
      <c r="N53" s="39"/>
    </row>
    <row r="54" spans="1:14" s="33" customFormat="1" ht="32.1" customHeight="1">
      <c r="A54" s="15">
        <v>43</v>
      </c>
      <c r="B54" s="16" t="s">
        <v>28</v>
      </c>
      <c r="C54" s="17" t="s">
        <v>229</v>
      </c>
      <c r="D54" s="24" t="s">
        <v>30</v>
      </c>
      <c r="E54" s="16" t="s">
        <v>230</v>
      </c>
      <c r="F54" s="18" t="s">
        <v>231</v>
      </c>
      <c r="G54" s="16" t="s">
        <v>232</v>
      </c>
      <c r="H54" s="20">
        <v>2</v>
      </c>
      <c r="I54" s="21" t="s">
        <v>40</v>
      </c>
      <c r="J54" s="22">
        <f>'INVOICE FOR CNY'!J54/6.79</f>
        <v>21.354933726067699</v>
      </c>
      <c r="K54" s="22">
        <f t="shared" si="1"/>
        <v>42.709867452135498</v>
      </c>
      <c r="L54" s="21">
        <v>850110</v>
      </c>
      <c r="M54" s="49" t="s">
        <v>233</v>
      </c>
      <c r="N54" s="39"/>
    </row>
    <row r="55" spans="1:14" s="33" customFormat="1" ht="32.1" customHeight="1">
      <c r="A55" s="15">
        <v>44</v>
      </c>
      <c r="B55" s="16" t="s">
        <v>28</v>
      </c>
      <c r="C55" s="17" t="s">
        <v>234</v>
      </c>
      <c r="D55" s="24" t="s">
        <v>30</v>
      </c>
      <c r="E55" s="16" t="s">
        <v>235</v>
      </c>
      <c r="F55" s="18" t="s">
        <v>236</v>
      </c>
      <c r="G55" s="16" t="s">
        <v>237</v>
      </c>
      <c r="H55" s="20">
        <v>4</v>
      </c>
      <c r="I55" s="21" t="s">
        <v>40</v>
      </c>
      <c r="J55" s="22">
        <f>'INVOICE FOR CNY'!J55/6.79</f>
        <v>6.4801178203240104</v>
      </c>
      <c r="K55" s="22">
        <f t="shared" si="1"/>
        <v>25.920471281295999</v>
      </c>
      <c r="L55" s="21">
        <v>732690</v>
      </c>
      <c r="M55" s="49" t="s">
        <v>238</v>
      </c>
      <c r="N55" s="39"/>
    </row>
    <row r="56" spans="1:14" s="33" customFormat="1" ht="32.1" customHeight="1">
      <c r="A56" s="15">
        <v>45</v>
      </c>
      <c r="B56" s="16" t="s">
        <v>28</v>
      </c>
      <c r="C56" s="17" t="s">
        <v>239</v>
      </c>
      <c r="D56" s="24" t="s">
        <v>30</v>
      </c>
      <c r="E56" s="16" t="s">
        <v>240</v>
      </c>
      <c r="F56" s="18" t="s">
        <v>241</v>
      </c>
      <c r="G56" s="16" t="s">
        <v>242</v>
      </c>
      <c r="H56" s="20">
        <v>4</v>
      </c>
      <c r="I56" s="21" t="s">
        <v>40</v>
      </c>
      <c r="J56" s="22">
        <f>'INVOICE FOR CNY'!J56/6.79</f>
        <v>6.4801178203240104</v>
      </c>
      <c r="K56" s="22">
        <f t="shared" si="1"/>
        <v>25.920471281295999</v>
      </c>
      <c r="L56" s="21">
        <v>732690</v>
      </c>
      <c r="M56" s="49" t="s">
        <v>243</v>
      </c>
      <c r="N56" s="39"/>
    </row>
    <row r="57" spans="1:14" s="33" customFormat="1" ht="32.1" customHeight="1">
      <c r="A57" s="15">
        <v>46</v>
      </c>
      <c r="B57" s="16" t="s">
        <v>28</v>
      </c>
      <c r="C57" s="17" t="s">
        <v>244</v>
      </c>
      <c r="D57" s="24" t="s">
        <v>30</v>
      </c>
      <c r="E57" s="16" t="s">
        <v>245</v>
      </c>
      <c r="F57" s="18" t="s">
        <v>246</v>
      </c>
      <c r="G57" s="16" t="s">
        <v>247</v>
      </c>
      <c r="H57" s="20">
        <v>2</v>
      </c>
      <c r="I57" s="21" t="s">
        <v>40</v>
      </c>
      <c r="J57" s="22">
        <f>'INVOICE FOR CNY'!J57/6.79</f>
        <v>9.4256259204712798</v>
      </c>
      <c r="K57" s="22">
        <f t="shared" si="1"/>
        <v>18.851251840942599</v>
      </c>
      <c r="L57" s="21">
        <v>851290</v>
      </c>
      <c r="M57" s="49" t="s">
        <v>248</v>
      </c>
      <c r="N57" s="39"/>
    </row>
    <row r="58" spans="1:14" s="33" customFormat="1" ht="32.1" customHeight="1">
      <c r="A58" s="15">
        <v>47</v>
      </c>
      <c r="B58" s="16" t="s">
        <v>28</v>
      </c>
      <c r="C58" s="17" t="s">
        <v>249</v>
      </c>
      <c r="D58" s="24" t="s">
        <v>30</v>
      </c>
      <c r="E58" s="16" t="s">
        <v>250</v>
      </c>
      <c r="F58" s="18" t="s">
        <v>251</v>
      </c>
      <c r="G58" s="16" t="s">
        <v>252</v>
      </c>
      <c r="H58" s="20">
        <v>12</v>
      </c>
      <c r="I58" s="21" t="s">
        <v>40</v>
      </c>
      <c r="J58" s="22">
        <f>'INVOICE FOR CNY'!J58/6.79</f>
        <v>9.5729013254786395</v>
      </c>
      <c r="K58" s="22">
        <f t="shared" si="1"/>
        <v>114.874815905744</v>
      </c>
      <c r="L58" s="21">
        <v>870850</v>
      </c>
      <c r="M58" s="49" t="s">
        <v>253</v>
      </c>
      <c r="N58" s="39"/>
    </row>
    <row r="59" spans="1:14" s="33" customFormat="1" ht="32.1" customHeight="1">
      <c r="A59" s="15">
        <v>48</v>
      </c>
      <c r="B59" s="16" t="s">
        <v>28</v>
      </c>
      <c r="C59" s="17" t="s">
        <v>254</v>
      </c>
      <c r="D59" s="24" t="s">
        <v>30</v>
      </c>
      <c r="E59" s="16" t="s">
        <v>255</v>
      </c>
      <c r="F59" s="18">
        <v>4529001112</v>
      </c>
      <c r="G59" s="16" t="s">
        <v>256</v>
      </c>
      <c r="H59" s="20">
        <v>6</v>
      </c>
      <c r="I59" s="21" t="s">
        <v>40</v>
      </c>
      <c r="J59" s="22">
        <f>'INVOICE FOR CNY'!J59/6.79</f>
        <v>10.014727540500701</v>
      </c>
      <c r="K59" s="22">
        <f t="shared" si="1"/>
        <v>60.088365243004397</v>
      </c>
      <c r="L59" s="21">
        <v>731822</v>
      </c>
      <c r="M59" s="49" t="s">
        <v>257</v>
      </c>
      <c r="N59" s="39"/>
    </row>
    <row r="60" spans="1:14" s="33" customFormat="1" ht="32.1" customHeight="1">
      <c r="A60" s="15">
        <v>49</v>
      </c>
      <c r="B60" s="16" t="s">
        <v>28</v>
      </c>
      <c r="C60" s="17" t="s">
        <v>258</v>
      </c>
      <c r="D60" s="24" t="s">
        <v>43</v>
      </c>
      <c r="E60" s="16" t="s">
        <v>259</v>
      </c>
      <c r="F60" s="18" t="s">
        <v>260</v>
      </c>
      <c r="G60" s="16" t="s">
        <v>261</v>
      </c>
      <c r="H60" s="20">
        <v>4</v>
      </c>
      <c r="I60" s="21" t="s">
        <v>40</v>
      </c>
      <c r="J60" s="22">
        <f>'INVOICE FOR CNY'!J60/6.79</f>
        <v>16.936671575846798</v>
      </c>
      <c r="K60" s="22">
        <f t="shared" si="1"/>
        <v>67.746686303387307</v>
      </c>
      <c r="L60" s="21">
        <v>401699</v>
      </c>
      <c r="M60" s="49" t="s">
        <v>262</v>
      </c>
      <c r="N60" s="39"/>
    </row>
    <row r="61" spans="1:14" s="33" customFormat="1" ht="32.1" customHeight="1">
      <c r="A61" s="15">
        <v>50</v>
      </c>
      <c r="B61" s="16" t="s">
        <v>28</v>
      </c>
      <c r="C61" s="17" t="s">
        <v>263</v>
      </c>
      <c r="D61" s="24" t="s">
        <v>30</v>
      </c>
      <c r="E61" s="16" t="s">
        <v>264</v>
      </c>
      <c r="F61" s="18" t="s">
        <v>265</v>
      </c>
      <c r="G61" s="16" t="s">
        <v>266</v>
      </c>
      <c r="H61" s="20">
        <v>20</v>
      </c>
      <c r="I61" s="21" t="s">
        <v>40</v>
      </c>
      <c r="J61" s="22">
        <f>'INVOICE FOR CNY'!J61/6.79</f>
        <v>0.58910162002945499</v>
      </c>
      <c r="K61" s="22">
        <f t="shared" si="1"/>
        <v>11.782032400589101</v>
      </c>
      <c r="L61" s="21">
        <v>732690</v>
      </c>
      <c r="M61" s="49" t="s">
        <v>267</v>
      </c>
      <c r="N61" s="39"/>
    </row>
    <row r="62" spans="1:14" s="33" customFormat="1" ht="32.1" customHeight="1">
      <c r="A62" s="15">
        <v>51</v>
      </c>
      <c r="B62" s="16" t="s">
        <v>28</v>
      </c>
      <c r="C62" s="17" t="s">
        <v>268</v>
      </c>
      <c r="D62" s="24" t="s">
        <v>30</v>
      </c>
      <c r="E62" s="16" t="s">
        <v>269</v>
      </c>
      <c r="F62" s="18" t="s">
        <v>270</v>
      </c>
      <c r="G62" s="16" t="s">
        <v>271</v>
      </c>
      <c r="H62" s="20">
        <v>4</v>
      </c>
      <c r="I62" s="21" t="s">
        <v>40</v>
      </c>
      <c r="J62" s="22">
        <f>'INVOICE FOR CNY'!J62/6.79</f>
        <v>22.385861561119299</v>
      </c>
      <c r="K62" s="22">
        <f t="shared" si="1"/>
        <v>89.543446244477195</v>
      </c>
      <c r="L62" s="21">
        <v>732010</v>
      </c>
      <c r="M62" s="49" t="s">
        <v>272</v>
      </c>
      <c r="N62" s="39"/>
    </row>
    <row r="63" spans="1:14" s="33" customFormat="1" ht="32.1" customHeight="1">
      <c r="A63" s="15">
        <v>52</v>
      </c>
      <c r="B63" s="16" t="s">
        <v>28</v>
      </c>
      <c r="C63" s="17" t="s">
        <v>273</v>
      </c>
      <c r="D63" s="24" t="s">
        <v>30</v>
      </c>
      <c r="E63" s="16" t="s">
        <v>274</v>
      </c>
      <c r="F63" s="18" t="s">
        <v>275</v>
      </c>
      <c r="G63" s="16" t="s">
        <v>276</v>
      </c>
      <c r="H63" s="20">
        <v>4</v>
      </c>
      <c r="I63" s="21" t="s">
        <v>40</v>
      </c>
      <c r="J63" s="22">
        <f>'INVOICE FOR CNY'!J63/6.79</f>
        <v>20.913107511045698</v>
      </c>
      <c r="K63" s="22">
        <f t="shared" si="1"/>
        <v>83.652430044182594</v>
      </c>
      <c r="L63" s="21">
        <v>870850</v>
      </c>
      <c r="M63" s="49" t="s">
        <v>277</v>
      </c>
      <c r="N63" s="39"/>
    </row>
    <row r="64" spans="1:14" s="33" customFormat="1" ht="32.1" customHeight="1">
      <c r="A64" s="15">
        <v>53</v>
      </c>
      <c r="B64" s="16" t="s">
        <v>28</v>
      </c>
      <c r="C64" s="17" t="s">
        <v>278</v>
      </c>
      <c r="D64" s="24" t="s">
        <v>279</v>
      </c>
      <c r="E64" s="16" t="s">
        <v>280</v>
      </c>
      <c r="F64" s="18" t="s">
        <v>281</v>
      </c>
      <c r="G64" s="16" t="s">
        <v>282</v>
      </c>
      <c r="H64" s="20">
        <v>5</v>
      </c>
      <c r="I64" s="21" t="s">
        <v>40</v>
      </c>
      <c r="J64" s="22">
        <f>'INVOICE FOR CNY'!J64/6.79</f>
        <v>69.513991163475694</v>
      </c>
      <c r="K64" s="22">
        <f t="shared" si="1"/>
        <v>347.569955817378</v>
      </c>
      <c r="L64" s="21">
        <v>700992</v>
      </c>
      <c r="M64" s="49" t="s">
        <v>283</v>
      </c>
      <c r="N64" s="39"/>
    </row>
    <row r="65" spans="1:14" s="33" customFormat="1" ht="32.1" customHeight="1">
      <c r="A65" s="15">
        <v>54</v>
      </c>
      <c r="B65" s="16" t="s">
        <v>28</v>
      </c>
      <c r="C65" s="17" t="s">
        <v>284</v>
      </c>
      <c r="D65" s="24" t="s">
        <v>43</v>
      </c>
      <c r="E65" s="16" t="s">
        <v>285</v>
      </c>
      <c r="F65" s="18" t="s">
        <v>286</v>
      </c>
      <c r="G65" s="16" t="s">
        <v>287</v>
      </c>
      <c r="H65" s="20">
        <v>5</v>
      </c>
      <c r="I65" s="21" t="s">
        <v>40</v>
      </c>
      <c r="J65" s="22">
        <f>'INVOICE FOR CNY'!J65/6.79</f>
        <v>20.324005891016199</v>
      </c>
      <c r="K65" s="22">
        <f t="shared" si="1"/>
        <v>101.620029455081</v>
      </c>
      <c r="L65" s="21">
        <v>401699</v>
      </c>
      <c r="M65" s="49" t="s">
        <v>288</v>
      </c>
      <c r="N65" s="39"/>
    </row>
    <row r="66" spans="1:14" s="33" customFormat="1" ht="32.1" customHeight="1">
      <c r="A66" s="15">
        <v>55</v>
      </c>
      <c r="B66" s="16" t="s">
        <v>28</v>
      </c>
      <c r="C66" s="17" t="s">
        <v>289</v>
      </c>
      <c r="D66" s="24" t="s">
        <v>30</v>
      </c>
      <c r="E66" s="16" t="s">
        <v>290</v>
      </c>
      <c r="F66" s="18">
        <v>452909508</v>
      </c>
      <c r="G66" s="16" t="s">
        <v>291</v>
      </c>
      <c r="H66" s="20">
        <v>4</v>
      </c>
      <c r="I66" s="21" t="s">
        <v>40</v>
      </c>
      <c r="J66" s="22">
        <f>'INVOICE FOR CNY'!J66/6.79</f>
        <v>13.254786450662699</v>
      </c>
      <c r="K66" s="22">
        <f t="shared" si="1"/>
        <v>53.019145802651003</v>
      </c>
      <c r="L66" s="21">
        <v>870880</v>
      </c>
      <c r="M66" s="49" t="s">
        <v>292</v>
      </c>
      <c r="N66" s="39"/>
    </row>
    <row r="67" spans="1:14" s="33" customFormat="1" ht="32.1" customHeight="1">
      <c r="A67" s="15">
        <v>56</v>
      </c>
      <c r="B67" s="16" t="s">
        <v>28</v>
      </c>
      <c r="C67" s="17" t="s">
        <v>293</v>
      </c>
      <c r="D67" s="24" t="s">
        <v>30</v>
      </c>
      <c r="E67" s="16" t="s">
        <v>294</v>
      </c>
      <c r="F67" s="18" t="s">
        <v>295</v>
      </c>
      <c r="G67" s="16" t="s">
        <v>296</v>
      </c>
      <c r="H67" s="20">
        <v>4</v>
      </c>
      <c r="I67" s="21" t="s">
        <v>40</v>
      </c>
      <c r="J67" s="22">
        <f>'INVOICE FOR CNY'!J67/6.79</f>
        <v>13.6966126656848</v>
      </c>
      <c r="K67" s="22">
        <f t="shared" si="1"/>
        <v>54.786450662739298</v>
      </c>
      <c r="L67" s="21">
        <v>870850</v>
      </c>
      <c r="M67" s="49" t="s">
        <v>297</v>
      </c>
      <c r="N67" s="39"/>
    </row>
    <row r="68" spans="1:14" s="33" customFormat="1" ht="32.1" customHeight="1">
      <c r="A68" s="15">
        <v>57</v>
      </c>
      <c r="B68" s="16" t="s">
        <v>28</v>
      </c>
      <c r="C68" s="17" t="s">
        <v>298</v>
      </c>
      <c r="D68" s="24" t="s">
        <v>30</v>
      </c>
      <c r="E68" s="16" t="s">
        <v>299</v>
      </c>
      <c r="F68" s="18" t="s">
        <v>300</v>
      </c>
      <c r="G68" s="16" t="s">
        <v>301</v>
      </c>
      <c r="H68" s="20">
        <v>16</v>
      </c>
      <c r="I68" s="21" t="s">
        <v>40</v>
      </c>
      <c r="J68" s="22">
        <f>'INVOICE FOR CNY'!J68/6.79</f>
        <v>0.73637702503681901</v>
      </c>
      <c r="K68" s="22">
        <f t="shared" si="1"/>
        <v>11.782032400589101</v>
      </c>
      <c r="L68" s="21">
        <v>731822</v>
      </c>
      <c r="M68" s="49" t="s">
        <v>302</v>
      </c>
      <c r="N68" s="39"/>
    </row>
    <row r="69" spans="1:14" s="33" customFormat="1" ht="32.1" customHeight="1">
      <c r="A69" s="15">
        <v>58</v>
      </c>
      <c r="B69" s="16" t="s">
        <v>28</v>
      </c>
      <c r="C69" s="17" t="s">
        <v>303</v>
      </c>
      <c r="D69" s="24" t="s">
        <v>30</v>
      </c>
      <c r="E69" s="16" t="s">
        <v>304</v>
      </c>
      <c r="F69" s="18" t="s">
        <v>305</v>
      </c>
      <c r="G69" s="16" t="s">
        <v>306</v>
      </c>
      <c r="H69" s="20">
        <v>4</v>
      </c>
      <c r="I69" s="21" t="s">
        <v>40</v>
      </c>
      <c r="J69" s="22">
        <f>'INVOICE FOR CNY'!J69/6.79</f>
        <v>3.5346097201767299</v>
      </c>
      <c r="K69" s="22">
        <f t="shared" si="1"/>
        <v>14.1384388807069</v>
      </c>
      <c r="L69" s="21">
        <v>731824</v>
      </c>
      <c r="M69" s="49" t="s">
        <v>307</v>
      </c>
      <c r="N69" s="39"/>
    </row>
    <row r="70" spans="1:14" s="33" customFormat="1" ht="32.1" customHeight="1">
      <c r="A70" s="15">
        <v>59</v>
      </c>
      <c r="B70" s="16" t="s">
        <v>28</v>
      </c>
      <c r="C70" s="17" t="s">
        <v>308</v>
      </c>
      <c r="D70" s="24" t="s">
        <v>30</v>
      </c>
      <c r="E70" s="16" t="s">
        <v>309</v>
      </c>
      <c r="F70" s="18">
        <v>452909507</v>
      </c>
      <c r="G70" s="16" t="s">
        <v>310</v>
      </c>
      <c r="H70" s="20">
        <v>4</v>
      </c>
      <c r="I70" s="21" t="s">
        <v>40</v>
      </c>
      <c r="J70" s="22">
        <f>'INVOICE FOR CNY'!J70/6.79</f>
        <v>15.022091310751099</v>
      </c>
      <c r="K70" s="22">
        <f t="shared" si="1"/>
        <v>60.088365243004397</v>
      </c>
      <c r="L70" s="21">
        <v>870850</v>
      </c>
      <c r="M70" s="49" t="s">
        <v>311</v>
      </c>
      <c r="N70" s="39"/>
    </row>
    <row r="71" spans="1:14" s="33" customFormat="1" ht="32.1" customHeight="1">
      <c r="A71" s="15">
        <v>60</v>
      </c>
      <c r="B71" s="16" t="s">
        <v>28</v>
      </c>
      <c r="C71" s="17" t="s">
        <v>303</v>
      </c>
      <c r="D71" s="24" t="s">
        <v>30</v>
      </c>
      <c r="E71" s="16" t="s">
        <v>312</v>
      </c>
      <c r="F71" s="18" t="s">
        <v>313</v>
      </c>
      <c r="G71" s="16" t="s">
        <v>314</v>
      </c>
      <c r="H71" s="20">
        <v>6</v>
      </c>
      <c r="I71" s="21" t="s">
        <v>40</v>
      </c>
      <c r="J71" s="22">
        <f>'INVOICE FOR CNY'!J71/6.79</f>
        <v>3.5346097201767299</v>
      </c>
      <c r="K71" s="22">
        <f t="shared" si="1"/>
        <v>21.2076583210604</v>
      </c>
      <c r="L71" s="21">
        <v>731824</v>
      </c>
      <c r="M71" s="49" t="s">
        <v>315</v>
      </c>
      <c r="N71" s="39"/>
    </row>
    <row r="72" spans="1:14" s="33" customFormat="1" ht="32.1" customHeight="1">
      <c r="A72" s="15">
        <v>61</v>
      </c>
      <c r="B72" s="16" t="s">
        <v>28</v>
      </c>
      <c r="C72" s="17" t="s">
        <v>316</v>
      </c>
      <c r="D72" s="24" t="s">
        <v>30</v>
      </c>
      <c r="E72" s="16" t="s">
        <v>317</v>
      </c>
      <c r="F72" s="18" t="s">
        <v>318</v>
      </c>
      <c r="G72" s="16" t="s">
        <v>319</v>
      </c>
      <c r="H72" s="20">
        <v>10</v>
      </c>
      <c r="I72" s="21" t="s">
        <v>40</v>
      </c>
      <c r="J72" s="22">
        <f>'INVOICE FOR CNY'!J72/6.79</f>
        <v>1.6200294550809999</v>
      </c>
      <c r="K72" s="22">
        <f t="shared" si="1"/>
        <v>16.20029455081</v>
      </c>
      <c r="L72" s="21">
        <v>731815</v>
      </c>
      <c r="M72" s="49" t="s">
        <v>320</v>
      </c>
      <c r="N72" s="39"/>
    </row>
    <row r="73" spans="1:14" s="33" customFormat="1" ht="32.1" customHeight="1">
      <c r="A73" s="15">
        <v>62</v>
      </c>
      <c r="B73" s="16" t="s">
        <v>28</v>
      </c>
      <c r="C73" s="17" t="s">
        <v>321</v>
      </c>
      <c r="D73" s="24" t="s">
        <v>30</v>
      </c>
      <c r="E73" s="16" t="s">
        <v>322</v>
      </c>
      <c r="F73" s="18" t="s">
        <v>323</v>
      </c>
      <c r="G73" s="16" t="s">
        <v>324</v>
      </c>
      <c r="H73" s="20">
        <v>5</v>
      </c>
      <c r="I73" s="21" t="s">
        <v>40</v>
      </c>
      <c r="J73" s="22">
        <f>'INVOICE FOR CNY'!J73/6.79</f>
        <v>2.3564064801178199</v>
      </c>
      <c r="K73" s="22">
        <f t="shared" si="1"/>
        <v>11.782032400589101</v>
      </c>
      <c r="L73" s="21">
        <v>870850</v>
      </c>
      <c r="M73" s="49" t="s">
        <v>325</v>
      </c>
      <c r="N73" s="39"/>
    </row>
    <row r="74" spans="1:14" s="33" customFormat="1" ht="32.1" customHeight="1">
      <c r="A74" s="15">
        <v>63</v>
      </c>
      <c r="B74" s="16" t="s">
        <v>28</v>
      </c>
      <c r="C74" s="17" t="s">
        <v>326</v>
      </c>
      <c r="D74" s="24" t="s">
        <v>30</v>
      </c>
      <c r="E74" s="16" t="s">
        <v>327</v>
      </c>
      <c r="F74" s="18" t="s">
        <v>328</v>
      </c>
      <c r="G74" s="16" t="s">
        <v>329</v>
      </c>
      <c r="H74" s="20">
        <v>1</v>
      </c>
      <c r="I74" s="21" t="s">
        <v>34</v>
      </c>
      <c r="J74" s="22">
        <f>'INVOICE FOR CNY'!J74/6.79</f>
        <v>455.96465390279798</v>
      </c>
      <c r="K74" s="22">
        <f t="shared" si="1"/>
        <v>455.96465390279798</v>
      </c>
      <c r="L74" s="21">
        <v>853720</v>
      </c>
      <c r="M74" s="49" t="s">
        <v>330</v>
      </c>
      <c r="N74" s="39"/>
    </row>
    <row r="75" spans="1:14" s="33" customFormat="1" ht="32.1" customHeight="1">
      <c r="A75" s="15">
        <v>64</v>
      </c>
      <c r="B75" s="16" t="s">
        <v>28</v>
      </c>
      <c r="C75" s="17" t="s">
        <v>331</v>
      </c>
      <c r="D75" s="24" t="s">
        <v>30</v>
      </c>
      <c r="E75" s="16" t="s">
        <v>332</v>
      </c>
      <c r="F75" s="18" t="s">
        <v>333</v>
      </c>
      <c r="G75" s="16" t="s">
        <v>334</v>
      </c>
      <c r="H75" s="20">
        <v>2</v>
      </c>
      <c r="I75" s="21" t="s">
        <v>40</v>
      </c>
      <c r="J75" s="22">
        <f>'INVOICE FOR CNY'!J75/6.79</f>
        <v>33.578792341678898</v>
      </c>
      <c r="K75" s="22">
        <f t="shared" si="1"/>
        <v>67.157584683357896</v>
      </c>
      <c r="L75" s="21">
        <v>853690</v>
      </c>
      <c r="M75" s="49" t="s">
        <v>335</v>
      </c>
      <c r="N75" s="39"/>
    </row>
    <row r="76" spans="1:14" s="33" customFormat="1" ht="32.1" customHeight="1">
      <c r="A76" s="15">
        <v>65</v>
      </c>
      <c r="B76" s="16" t="s">
        <v>28</v>
      </c>
      <c r="C76" s="17" t="s">
        <v>336</v>
      </c>
      <c r="D76" s="24" t="s">
        <v>30</v>
      </c>
      <c r="E76" s="16" t="s">
        <v>337</v>
      </c>
      <c r="F76" s="18" t="s">
        <v>338</v>
      </c>
      <c r="G76" s="16" t="s">
        <v>339</v>
      </c>
      <c r="H76" s="20">
        <v>2</v>
      </c>
      <c r="I76" s="21" t="s">
        <v>40</v>
      </c>
      <c r="J76" s="22">
        <f>'INVOICE FOR CNY'!J76/6.79</f>
        <v>14.8748159057437</v>
      </c>
      <c r="K76" s="22">
        <f t="shared" si="1"/>
        <v>29.7496318114875</v>
      </c>
      <c r="L76" s="21">
        <v>401699</v>
      </c>
      <c r="M76" s="49" t="s">
        <v>340</v>
      </c>
      <c r="N76" s="39"/>
    </row>
    <row r="77" spans="1:14" s="33" customFormat="1" ht="32.1" customHeight="1">
      <c r="A77" s="15">
        <v>66</v>
      </c>
      <c r="B77" s="16" t="s">
        <v>28</v>
      </c>
      <c r="C77" s="17" t="s">
        <v>341</v>
      </c>
      <c r="D77" s="24" t="s">
        <v>30</v>
      </c>
      <c r="E77" s="16" t="s">
        <v>342</v>
      </c>
      <c r="F77" s="18" t="s">
        <v>343</v>
      </c>
      <c r="G77" s="16" t="s">
        <v>344</v>
      </c>
      <c r="H77" s="20">
        <v>1</v>
      </c>
      <c r="I77" s="21" t="s">
        <v>34</v>
      </c>
      <c r="J77" s="22">
        <f>'INVOICE FOR CNY'!J77/6.79</f>
        <v>15.022091310751099</v>
      </c>
      <c r="K77" s="22">
        <f t="shared" ref="K77:K108" si="2">H77*J77</f>
        <v>15.022091310751099</v>
      </c>
      <c r="L77" s="21">
        <v>401699</v>
      </c>
      <c r="M77" s="49" t="s">
        <v>345</v>
      </c>
      <c r="N77" s="39"/>
    </row>
    <row r="78" spans="1:14" s="33" customFormat="1" ht="32.1" customHeight="1">
      <c r="A78" s="15">
        <v>67</v>
      </c>
      <c r="B78" s="16" t="s">
        <v>28</v>
      </c>
      <c r="C78" s="17" t="s">
        <v>346</v>
      </c>
      <c r="D78" s="24" t="s">
        <v>30</v>
      </c>
      <c r="E78" s="16" t="s">
        <v>347</v>
      </c>
      <c r="F78" s="18" t="s">
        <v>348</v>
      </c>
      <c r="G78" s="16" t="s">
        <v>349</v>
      </c>
      <c r="H78" s="20">
        <v>5</v>
      </c>
      <c r="I78" s="21" t="s">
        <v>40</v>
      </c>
      <c r="J78" s="22">
        <f>'INVOICE FOR CNY'!J78/6.79</f>
        <v>6.1855670103092804</v>
      </c>
      <c r="K78" s="22">
        <f t="shared" si="2"/>
        <v>30.927835051546399</v>
      </c>
      <c r="L78" s="21">
        <v>853690</v>
      </c>
      <c r="M78" s="49" t="s">
        <v>350</v>
      </c>
      <c r="N78" s="39"/>
    </row>
    <row r="79" spans="1:14" s="33" customFormat="1" ht="32.1" customHeight="1">
      <c r="A79" s="15">
        <v>68</v>
      </c>
      <c r="B79" s="16" t="s">
        <v>28</v>
      </c>
      <c r="C79" s="17" t="s">
        <v>351</v>
      </c>
      <c r="D79" s="24" t="s">
        <v>30</v>
      </c>
      <c r="E79" s="16" t="s">
        <v>352</v>
      </c>
      <c r="F79" s="18" t="s">
        <v>353</v>
      </c>
      <c r="G79" s="16" t="s">
        <v>354</v>
      </c>
      <c r="H79" s="20">
        <v>5</v>
      </c>
      <c r="I79" s="21" t="s">
        <v>40</v>
      </c>
      <c r="J79" s="22">
        <f>'INVOICE FOR CNY'!J79/6.79</f>
        <v>6.03829160530191</v>
      </c>
      <c r="K79" s="22">
        <f t="shared" si="2"/>
        <v>30.191458026509601</v>
      </c>
      <c r="L79" s="21">
        <v>853690</v>
      </c>
      <c r="M79" s="49" t="s">
        <v>355</v>
      </c>
      <c r="N79" s="39"/>
    </row>
    <row r="80" spans="1:14" s="33" customFormat="1" ht="32.1" customHeight="1">
      <c r="A80" s="15">
        <v>69</v>
      </c>
      <c r="B80" s="16" t="s">
        <v>28</v>
      </c>
      <c r="C80" s="17" t="s">
        <v>356</v>
      </c>
      <c r="D80" s="24" t="s">
        <v>30</v>
      </c>
      <c r="E80" s="16" t="s">
        <v>357</v>
      </c>
      <c r="F80" s="18" t="s">
        <v>358</v>
      </c>
      <c r="G80" s="16" t="s">
        <v>359</v>
      </c>
      <c r="H80" s="20">
        <v>5</v>
      </c>
      <c r="I80" s="21" t="s">
        <v>40</v>
      </c>
      <c r="J80" s="22">
        <f>'INVOICE FOR CNY'!J80/6.79</f>
        <v>5.8910162002945503</v>
      </c>
      <c r="K80" s="22">
        <f t="shared" si="2"/>
        <v>29.455081001472799</v>
      </c>
      <c r="L80" s="21">
        <v>853690</v>
      </c>
      <c r="M80" s="49" t="s">
        <v>360</v>
      </c>
      <c r="N80" s="39"/>
    </row>
    <row r="81" spans="1:14" s="33" customFormat="1" ht="32.1" customHeight="1">
      <c r="A81" s="15">
        <v>70</v>
      </c>
      <c r="B81" s="16" t="s">
        <v>28</v>
      </c>
      <c r="C81" s="17" t="s">
        <v>361</v>
      </c>
      <c r="D81" s="24" t="s">
        <v>30</v>
      </c>
      <c r="E81" s="16" t="s">
        <v>362</v>
      </c>
      <c r="F81" s="18" t="s">
        <v>363</v>
      </c>
      <c r="G81" s="16" t="s">
        <v>364</v>
      </c>
      <c r="H81" s="20">
        <v>5</v>
      </c>
      <c r="I81" s="21" t="s">
        <v>40</v>
      </c>
      <c r="J81" s="22">
        <f>'INVOICE FOR CNY'!J81/6.79</f>
        <v>6.03829160530191</v>
      </c>
      <c r="K81" s="22">
        <f t="shared" si="2"/>
        <v>30.191458026509601</v>
      </c>
      <c r="L81" s="21">
        <v>853690</v>
      </c>
      <c r="M81" s="49" t="s">
        <v>365</v>
      </c>
      <c r="N81" s="39"/>
    </row>
    <row r="82" spans="1:14" s="33" customFormat="1" ht="32.1" customHeight="1">
      <c r="A82" s="15">
        <v>71</v>
      </c>
      <c r="B82" s="16" t="s">
        <v>28</v>
      </c>
      <c r="C82" s="17" t="s">
        <v>366</v>
      </c>
      <c r="D82" s="24" t="s">
        <v>30</v>
      </c>
      <c r="E82" s="16" t="s">
        <v>367</v>
      </c>
      <c r="F82" s="18" t="s">
        <v>368</v>
      </c>
      <c r="G82" s="16" t="s">
        <v>369</v>
      </c>
      <c r="H82" s="20">
        <v>5</v>
      </c>
      <c r="I82" s="21" t="s">
        <v>40</v>
      </c>
      <c r="J82" s="22">
        <f>'INVOICE FOR CNY'!J82/6.79</f>
        <v>37.113402061855702</v>
      </c>
      <c r="K82" s="22">
        <f t="shared" si="2"/>
        <v>185.567010309278</v>
      </c>
      <c r="L82" s="21">
        <v>853690</v>
      </c>
      <c r="M82" s="49" t="s">
        <v>370</v>
      </c>
      <c r="N82" s="39"/>
    </row>
    <row r="83" spans="1:14" s="33" customFormat="1" ht="32.1" customHeight="1">
      <c r="A83" s="15">
        <v>72</v>
      </c>
      <c r="B83" s="16" t="s">
        <v>28</v>
      </c>
      <c r="C83" s="17" t="s">
        <v>371</v>
      </c>
      <c r="D83" s="24" t="s">
        <v>30</v>
      </c>
      <c r="E83" s="16" t="s">
        <v>372</v>
      </c>
      <c r="F83" s="18" t="s">
        <v>373</v>
      </c>
      <c r="G83" s="16" t="s">
        <v>374</v>
      </c>
      <c r="H83" s="20">
        <v>2</v>
      </c>
      <c r="I83" s="21" t="s">
        <v>40</v>
      </c>
      <c r="J83" s="22">
        <f>'INVOICE FOR CNY'!J83/6.79</f>
        <v>22.680412371134</v>
      </c>
      <c r="K83" s="22">
        <f t="shared" si="2"/>
        <v>45.360824742268001</v>
      </c>
      <c r="L83" s="21">
        <v>853690</v>
      </c>
      <c r="M83" s="49" t="s">
        <v>375</v>
      </c>
      <c r="N83" s="39"/>
    </row>
    <row r="84" spans="1:14" s="33" customFormat="1" ht="32.1" customHeight="1">
      <c r="A84" s="15">
        <v>73</v>
      </c>
      <c r="B84" s="16" t="s">
        <v>28</v>
      </c>
      <c r="C84" s="17" t="s">
        <v>376</v>
      </c>
      <c r="D84" s="24" t="s">
        <v>30</v>
      </c>
      <c r="E84" s="16" t="s">
        <v>377</v>
      </c>
      <c r="F84" s="18" t="s">
        <v>378</v>
      </c>
      <c r="G84" s="16" t="s">
        <v>379</v>
      </c>
      <c r="H84" s="20">
        <v>2</v>
      </c>
      <c r="I84" s="21" t="s">
        <v>40</v>
      </c>
      <c r="J84" s="22">
        <f>'INVOICE FOR CNY'!J84/6.79</f>
        <v>25.036818851251802</v>
      </c>
      <c r="K84" s="22">
        <f t="shared" si="2"/>
        <v>50.073637702503703</v>
      </c>
      <c r="L84" s="21">
        <v>853690</v>
      </c>
      <c r="M84" s="49" t="s">
        <v>380</v>
      </c>
      <c r="N84" s="39"/>
    </row>
    <row r="85" spans="1:14" s="33" customFormat="1" ht="32.1" customHeight="1">
      <c r="A85" s="15">
        <v>74</v>
      </c>
      <c r="B85" s="16" t="s">
        <v>28</v>
      </c>
      <c r="C85" s="17" t="s">
        <v>381</v>
      </c>
      <c r="D85" s="24" t="s">
        <v>30</v>
      </c>
      <c r="E85" s="16" t="s">
        <v>382</v>
      </c>
      <c r="F85" s="18" t="s">
        <v>383</v>
      </c>
      <c r="G85" s="16" t="s">
        <v>384</v>
      </c>
      <c r="H85" s="20">
        <v>1</v>
      </c>
      <c r="I85" s="21" t="s">
        <v>34</v>
      </c>
      <c r="J85" s="22">
        <f>'INVOICE FOR CNY'!J85/6.79</f>
        <v>563.18114874815899</v>
      </c>
      <c r="K85" s="22">
        <f t="shared" si="2"/>
        <v>563.18114874815899</v>
      </c>
      <c r="L85" s="21">
        <v>853720</v>
      </c>
      <c r="M85" s="49" t="s">
        <v>385</v>
      </c>
      <c r="N85" s="39"/>
    </row>
    <row r="86" spans="1:14" s="33" customFormat="1" ht="32.1" customHeight="1">
      <c r="A86" s="15">
        <v>75</v>
      </c>
      <c r="B86" s="16" t="s">
        <v>28</v>
      </c>
      <c r="C86" s="17" t="s">
        <v>386</v>
      </c>
      <c r="D86" s="24" t="s">
        <v>30</v>
      </c>
      <c r="E86" s="16" t="s">
        <v>387</v>
      </c>
      <c r="F86" s="18" t="s">
        <v>388</v>
      </c>
      <c r="G86" s="16" t="s">
        <v>389</v>
      </c>
      <c r="H86" s="20">
        <v>2</v>
      </c>
      <c r="I86" s="21" t="s">
        <v>40</v>
      </c>
      <c r="J86" s="22">
        <f>'INVOICE FOR CNY'!J86/6.79</f>
        <v>60.972017673048597</v>
      </c>
      <c r="K86" s="22">
        <f t="shared" si="2"/>
        <v>121.944035346097</v>
      </c>
      <c r="L86" s="21">
        <v>853690</v>
      </c>
      <c r="M86" s="49" t="s">
        <v>390</v>
      </c>
      <c r="N86" s="39"/>
    </row>
    <row r="87" spans="1:14" s="33" customFormat="1" ht="32.1" customHeight="1">
      <c r="A87" s="15">
        <v>76</v>
      </c>
      <c r="B87" s="16" t="s">
        <v>28</v>
      </c>
      <c r="C87" s="17" t="s">
        <v>391</v>
      </c>
      <c r="D87" s="24" t="s">
        <v>30</v>
      </c>
      <c r="E87" s="16" t="s">
        <v>392</v>
      </c>
      <c r="F87" s="18" t="s">
        <v>393</v>
      </c>
      <c r="G87" s="16" t="s">
        <v>394</v>
      </c>
      <c r="H87" s="20">
        <v>1</v>
      </c>
      <c r="I87" s="21" t="s">
        <v>34</v>
      </c>
      <c r="J87" s="22">
        <f>'INVOICE FOR CNY'!J87/6.79</f>
        <v>427.39322533136999</v>
      </c>
      <c r="K87" s="22">
        <f t="shared" si="2"/>
        <v>427.39322533136999</v>
      </c>
      <c r="L87" s="21">
        <v>853720</v>
      </c>
      <c r="M87" s="49" t="s">
        <v>395</v>
      </c>
      <c r="N87" s="39"/>
    </row>
    <row r="88" spans="1:14" s="33" customFormat="1" ht="32.1" customHeight="1">
      <c r="A88" s="15">
        <v>77</v>
      </c>
      <c r="B88" s="16" t="s">
        <v>28</v>
      </c>
      <c r="C88" s="17" t="s">
        <v>396</v>
      </c>
      <c r="D88" s="24" t="s">
        <v>30</v>
      </c>
      <c r="E88" s="16" t="s">
        <v>397</v>
      </c>
      <c r="F88" s="18" t="s">
        <v>398</v>
      </c>
      <c r="G88" s="16" t="s">
        <v>399</v>
      </c>
      <c r="H88" s="20">
        <v>1</v>
      </c>
      <c r="I88" s="21" t="s">
        <v>34</v>
      </c>
      <c r="J88" s="22">
        <f>'INVOICE FOR CNY'!J88/6.79</f>
        <v>44.771723122238598</v>
      </c>
      <c r="K88" s="22">
        <f t="shared" si="2"/>
        <v>44.771723122238598</v>
      </c>
      <c r="L88" s="21">
        <v>853690</v>
      </c>
      <c r="M88" s="49" t="s">
        <v>400</v>
      </c>
      <c r="N88" s="39"/>
    </row>
    <row r="89" spans="1:14" s="33" customFormat="1" ht="32.1" customHeight="1">
      <c r="A89" s="15">
        <v>78</v>
      </c>
      <c r="B89" s="16" t="s">
        <v>28</v>
      </c>
      <c r="C89" s="17" t="s">
        <v>401</v>
      </c>
      <c r="D89" s="24" t="s">
        <v>30</v>
      </c>
      <c r="E89" s="16" t="s">
        <v>402</v>
      </c>
      <c r="F89" s="18" t="s">
        <v>403</v>
      </c>
      <c r="G89" s="16" t="s">
        <v>404</v>
      </c>
      <c r="H89" s="20">
        <v>1</v>
      </c>
      <c r="I89" s="21" t="s">
        <v>34</v>
      </c>
      <c r="J89" s="22">
        <f>'INVOICE FOR CNY'!J89/6.79</f>
        <v>20.913107511045698</v>
      </c>
      <c r="K89" s="22">
        <f t="shared" si="2"/>
        <v>20.913107511045698</v>
      </c>
      <c r="L89" s="21">
        <v>853290</v>
      </c>
      <c r="M89" s="49" t="s">
        <v>405</v>
      </c>
      <c r="N89" s="39"/>
    </row>
    <row r="90" spans="1:14" s="33" customFormat="1" ht="32.1" customHeight="1">
      <c r="A90" s="15">
        <v>79</v>
      </c>
      <c r="B90" s="16" t="s">
        <v>28</v>
      </c>
      <c r="C90" s="17" t="s">
        <v>406</v>
      </c>
      <c r="D90" s="24" t="s">
        <v>30</v>
      </c>
      <c r="E90" s="16" t="s">
        <v>407</v>
      </c>
      <c r="F90" s="18" t="s">
        <v>408</v>
      </c>
      <c r="G90" s="16" t="s">
        <v>409</v>
      </c>
      <c r="H90" s="20">
        <v>1</v>
      </c>
      <c r="I90" s="21" t="s">
        <v>34</v>
      </c>
      <c r="J90" s="22">
        <f>'INVOICE FOR CNY'!J90/6.79</f>
        <v>274.07952871870401</v>
      </c>
      <c r="K90" s="22">
        <f t="shared" si="2"/>
        <v>274.07952871870401</v>
      </c>
      <c r="L90" s="21">
        <v>853890</v>
      </c>
      <c r="M90" s="49" t="s">
        <v>410</v>
      </c>
      <c r="N90" s="39"/>
    </row>
    <row r="91" spans="1:14" s="33" customFormat="1" ht="32.1" customHeight="1">
      <c r="A91" s="15">
        <v>80</v>
      </c>
      <c r="B91" s="16" t="s">
        <v>28</v>
      </c>
      <c r="C91" s="17" t="s">
        <v>411</v>
      </c>
      <c r="D91" s="24" t="s">
        <v>30</v>
      </c>
      <c r="E91" s="16" t="s">
        <v>412</v>
      </c>
      <c r="F91" s="18" t="s">
        <v>413</v>
      </c>
      <c r="G91" s="16" t="s">
        <v>414</v>
      </c>
      <c r="H91" s="20">
        <v>1</v>
      </c>
      <c r="I91" s="21" t="s">
        <v>34</v>
      </c>
      <c r="J91" s="22">
        <f>'INVOICE FOR CNY'!J91/6.79</f>
        <v>7.2164948453608204</v>
      </c>
      <c r="K91" s="22">
        <f t="shared" si="2"/>
        <v>7.2164948453608204</v>
      </c>
      <c r="L91" s="21">
        <v>853290</v>
      </c>
      <c r="M91" s="49" t="s">
        <v>415</v>
      </c>
      <c r="N91" s="39"/>
    </row>
    <row r="92" spans="1:14" s="33" customFormat="1" ht="32.1" customHeight="1">
      <c r="A92" s="15">
        <v>81</v>
      </c>
      <c r="B92" s="16" t="s">
        <v>28</v>
      </c>
      <c r="C92" s="17" t="s">
        <v>416</v>
      </c>
      <c r="D92" s="24" t="s">
        <v>30</v>
      </c>
      <c r="E92" s="16" t="s">
        <v>417</v>
      </c>
      <c r="F92" s="18">
        <v>452107249</v>
      </c>
      <c r="G92" s="16" t="s">
        <v>418</v>
      </c>
      <c r="H92" s="20">
        <v>3</v>
      </c>
      <c r="I92" s="21" t="s">
        <v>40</v>
      </c>
      <c r="J92" s="22">
        <f>'INVOICE FOR CNY'!J92/6.79</f>
        <v>95.581737849779103</v>
      </c>
      <c r="K92" s="22">
        <f t="shared" si="2"/>
        <v>286.745213549337</v>
      </c>
      <c r="L92" s="21">
        <v>843120</v>
      </c>
      <c r="M92" s="49" t="s">
        <v>419</v>
      </c>
      <c r="N92" s="39"/>
    </row>
    <row r="93" spans="1:14" s="33" customFormat="1" ht="32.1" customHeight="1">
      <c r="A93" s="15">
        <v>82</v>
      </c>
      <c r="B93" s="16" t="s">
        <v>28</v>
      </c>
      <c r="C93" s="17" t="s">
        <v>420</v>
      </c>
      <c r="D93" s="24" t="s">
        <v>30</v>
      </c>
      <c r="E93" s="16" t="s">
        <v>421</v>
      </c>
      <c r="F93" s="18">
        <v>452107272</v>
      </c>
      <c r="G93" s="16" t="s">
        <v>422</v>
      </c>
      <c r="H93" s="20">
        <v>2</v>
      </c>
      <c r="I93" s="21" t="s">
        <v>40</v>
      </c>
      <c r="J93" s="22">
        <f>'INVOICE FOR CNY'!J93/6.79</f>
        <v>171.42857142857099</v>
      </c>
      <c r="K93" s="22">
        <f t="shared" si="2"/>
        <v>342.857142857143</v>
      </c>
      <c r="L93" s="21">
        <v>870891</v>
      </c>
      <c r="M93" s="49" t="s">
        <v>423</v>
      </c>
      <c r="N93" s="39"/>
    </row>
    <row r="94" spans="1:14" s="33" customFormat="1" ht="32.1" customHeight="1">
      <c r="A94" s="15">
        <v>83</v>
      </c>
      <c r="B94" s="16" t="s">
        <v>28</v>
      </c>
      <c r="C94" s="17" t="s">
        <v>424</v>
      </c>
      <c r="D94" s="24" t="s">
        <v>30</v>
      </c>
      <c r="E94" s="16" t="s">
        <v>425</v>
      </c>
      <c r="F94" s="18" t="s">
        <v>426</v>
      </c>
      <c r="G94" s="16" t="s">
        <v>427</v>
      </c>
      <c r="H94" s="20">
        <v>2</v>
      </c>
      <c r="I94" s="21" t="s">
        <v>40</v>
      </c>
      <c r="J94" s="22">
        <f>'INVOICE FOR CNY'!J94/6.79</f>
        <v>7.9528718703976402</v>
      </c>
      <c r="K94" s="22">
        <f t="shared" si="2"/>
        <v>15.9057437407953</v>
      </c>
      <c r="L94" s="21">
        <v>400921</v>
      </c>
      <c r="M94" s="49" t="s">
        <v>428</v>
      </c>
      <c r="N94" s="39"/>
    </row>
    <row r="95" spans="1:14" s="33" customFormat="1" ht="32.1" customHeight="1">
      <c r="A95" s="15">
        <v>84</v>
      </c>
      <c r="B95" s="16" t="s">
        <v>28</v>
      </c>
      <c r="C95" s="17" t="s">
        <v>429</v>
      </c>
      <c r="D95" s="24" t="s">
        <v>43</v>
      </c>
      <c r="E95" s="16" t="s">
        <v>425</v>
      </c>
      <c r="F95" s="18" t="s">
        <v>430</v>
      </c>
      <c r="G95" s="16" t="s">
        <v>431</v>
      </c>
      <c r="H95" s="20">
        <v>2</v>
      </c>
      <c r="I95" s="21" t="s">
        <v>40</v>
      </c>
      <c r="J95" s="22">
        <f>'INVOICE FOR CNY'!J95/6.79</f>
        <v>1.91458026509573</v>
      </c>
      <c r="K95" s="22">
        <f t="shared" si="2"/>
        <v>3.82916053019146</v>
      </c>
      <c r="L95" s="21">
        <v>400921</v>
      </c>
      <c r="M95" s="49" t="s">
        <v>432</v>
      </c>
      <c r="N95" s="39"/>
    </row>
    <row r="96" spans="1:14" s="33" customFormat="1" ht="32.1" customHeight="1">
      <c r="A96" s="15">
        <v>85</v>
      </c>
      <c r="B96" s="16" t="s">
        <v>28</v>
      </c>
      <c r="C96" s="17" t="s">
        <v>433</v>
      </c>
      <c r="D96" s="24" t="s">
        <v>43</v>
      </c>
      <c r="E96" s="16" t="s">
        <v>434</v>
      </c>
      <c r="F96" s="18" t="s">
        <v>435</v>
      </c>
      <c r="G96" s="16" t="s">
        <v>436</v>
      </c>
      <c r="H96" s="20">
        <v>2</v>
      </c>
      <c r="I96" s="21" t="s">
        <v>40</v>
      </c>
      <c r="J96" s="22">
        <f>'INVOICE FOR CNY'!J96/6.79</f>
        <v>1.47275405007364</v>
      </c>
      <c r="K96" s="22">
        <f t="shared" si="2"/>
        <v>2.94550810014728</v>
      </c>
      <c r="L96" s="21">
        <v>400921</v>
      </c>
      <c r="M96" s="49" t="s">
        <v>437</v>
      </c>
      <c r="N96" s="39"/>
    </row>
    <row r="97" spans="1:14" s="33" customFormat="1" ht="32.1" customHeight="1">
      <c r="A97" s="15">
        <v>86</v>
      </c>
      <c r="B97" s="16" t="s">
        <v>28</v>
      </c>
      <c r="C97" s="17" t="s">
        <v>438</v>
      </c>
      <c r="D97" s="24" t="s">
        <v>43</v>
      </c>
      <c r="E97" s="16" t="s">
        <v>439</v>
      </c>
      <c r="F97" s="18" t="s">
        <v>440</v>
      </c>
      <c r="G97" s="16" t="s">
        <v>441</v>
      </c>
      <c r="H97" s="20">
        <v>2</v>
      </c>
      <c r="I97" s="21" t="s">
        <v>40</v>
      </c>
      <c r="J97" s="22">
        <f>'INVOICE FOR CNY'!J97/6.79</f>
        <v>1.91458026509573</v>
      </c>
      <c r="K97" s="22">
        <f t="shared" si="2"/>
        <v>3.82916053019146</v>
      </c>
      <c r="L97" s="21">
        <v>400921</v>
      </c>
      <c r="M97" s="49" t="s">
        <v>442</v>
      </c>
      <c r="N97" s="39"/>
    </row>
    <row r="98" spans="1:14" s="33" customFormat="1" ht="32.1" customHeight="1">
      <c r="A98" s="15">
        <v>87</v>
      </c>
      <c r="B98" s="16" t="s">
        <v>28</v>
      </c>
      <c r="C98" s="17" t="s">
        <v>443</v>
      </c>
      <c r="D98" s="24" t="s">
        <v>30</v>
      </c>
      <c r="E98" s="16" t="s">
        <v>444</v>
      </c>
      <c r="F98" s="18" t="s">
        <v>445</v>
      </c>
      <c r="G98" s="16" t="s">
        <v>446</v>
      </c>
      <c r="H98" s="20">
        <v>3</v>
      </c>
      <c r="I98" s="21" t="s">
        <v>40</v>
      </c>
      <c r="J98" s="22">
        <f>'INVOICE FOR CNY'!J98/6.79</f>
        <v>15.022091310751099</v>
      </c>
      <c r="K98" s="22">
        <f t="shared" si="2"/>
        <v>45.066273932253303</v>
      </c>
      <c r="L98" s="21">
        <v>730711</v>
      </c>
      <c r="M98" s="49" t="s">
        <v>447</v>
      </c>
      <c r="N98" s="39"/>
    </row>
    <row r="99" spans="1:14" s="33" customFormat="1" ht="32.1" customHeight="1">
      <c r="A99" s="15">
        <v>88</v>
      </c>
      <c r="B99" s="16" t="s">
        <v>28</v>
      </c>
      <c r="C99" s="17" t="s">
        <v>448</v>
      </c>
      <c r="D99" s="24" t="s">
        <v>30</v>
      </c>
      <c r="E99" s="16" t="s">
        <v>449</v>
      </c>
      <c r="F99" s="18" t="s">
        <v>450</v>
      </c>
      <c r="G99" s="16" t="s">
        <v>451</v>
      </c>
      <c r="H99" s="20">
        <v>2</v>
      </c>
      <c r="I99" s="21" t="s">
        <v>40</v>
      </c>
      <c r="J99" s="22">
        <f>'INVOICE FOR CNY'!J99/6.79</f>
        <v>2.2091310751104598</v>
      </c>
      <c r="K99" s="22">
        <f t="shared" si="2"/>
        <v>4.4182621502209098</v>
      </c>
      <c r="L99" s="21">
        <v>400921</v>
      </c>
      <c r="M99" s="49" t="s">
        <v>452</v>
      </c>
      <c r="N99" s="39"/>
    </row>
    <row r="100" spans="1:14" s="33" customFormat="1" ht="32.1" customHeight="1">
      <c r="A100" s="15">
        <v>89</v>
      </c>
      <c r="B100" s="16" t="s">
        <v>28</v>
      </c>
      <c r="C100" s="17" t="s">
        <v>453</v>
      </c>
      <c r="D100" s="24" t="s">
        <v>43</v>
      </c>
      <c r="E100" s="16" t="s">
        <v>454</v>
      </c>
      <c r="F100" s="18" t="s">
        <v>455</v>
      </c>
      <c r="G100" s="16" t="s">
        <v>456</v>
      </c>
      <c r="H100" s="20">
        <v>2</v>
      </c>
      <c r="I100" s="21" t="s">
        <v>40</v>
      </c>
      <c r="J100" s="22">
        <f>'INVOICE FOR CNY'!J100/6.79</f>
        <v>1.3254786450662699</v>
      </c>
      <c r="K100" s="22">
        <f t="shared" si="2"/>
        <v>2.65095729013255</v>
      </c>
      <c r="L100" s="21">
        <v>400921</v>
      </c>
      <c r="M100" s="49" t="s">
        <v>457</v>
      </c>
      <c r="N100" s="39"/>
    </row>
    <row r="101" spans="1:14" s="33" customFormat="1" ht="32.1" customHeight="1">
      <c r="A101" s="15">
        <v>90</v>
      </c>
      <c r="B101" s="16" t="s">
        <v>28</v>
      </c>
      <c r="C101" s="17" t="s">
        <v>458</v>
      </c>
      <c r="D101" s="24" t="s">
        <v>30</v>
      </c>
      <c r="E101" s="16" t="s">
        <v>459</v>
      </c>
      <c r="F101" s="18" t="s">
        <v>460</v>
      </c>
      <c r="G101" s="16" t="s">
        <v>461</v>
      </c>
      <c r="H101" s="20">
        <v>2</v>
      </c>
      <c r="I101" s="21" t="s">
        <v>40</v>
      </c>
      <c r="J101" s="22">
        <f>'INVOICE FOR CNY'!J101/6.79</f>
        <v>1.91458026509573</v>
      </c>
      <c r="K101" s="22">
        <f t="shared" si="2"/>
        <v>3.82916053019146</v>
      </c>
      <c r="L101" s="21">
        <v>400921</v>
      </c>
      <c r="M101" s="49" t="s">
        <v>462</v>
      </c>
      <c r="N101" s="39"/>
    </row>
    <row r="102" spans="1:14" s="33" customFormat="1" ht="32.1" customHeight="1">
      <c r="A102" s="15">
        <v>91</v>
      </c>
      <c r="B102" s="16" t="s">
        <v>28</v>
      </c>
      <c r="C102" s="17" t="s">
        <v>463</v>
      </c>
      <c r="D102" s="24" t="s">
        <v>30</v>
      </c>
      <c r="E102" s="16" t="s">
        <v>464</v>
      </c>
      <c r="F102" s="18" t="s">
        <v>465</v>
      </c>
      <c r="G102" s="16" t="s">
        <v>466</v>
      </c>
      <c r="H102" s="20">
        <v>3</v>
      </c>
      <c r="I102" s="21" t="s">
        <v>40</v>
      </c>
      <c r="J102" s="22">
        <f>'INVOICE FOR CNY'!J102/6.79</f>
        <v>0.73637702503681901</v>
      </c>
      <c r="K102" s="22">
        <f t="shared" si="2"/>
        <v>2.2091310751104598</v>
      </c>
      <c r="L102" s="21">
        <v>400921</v>
      </c>
      <c r="M102" s="49" t="s">
        <v>467</v>
      </c>
      <c r="N102" s="39"/>
    </row>
    <row r="103" spans="1:14" s="33" customFormat="1" ht="32.1" customHeight="1">
      <c r="A103" s="15">
        <v>92</v>
      </c>
      <c r="B103" s="16" t="s">
        <v>28</v>
      </c>
      <c r="C103" s="17" t="s">
        <v>468</v>
      </c>
      <c r="D103" s="24" t="s">
        <v>30</v>
      </c>
      <c r="E103" s="16" t="s">
        <v>469</v>
      </c>
      <c r="F103" s="18" t="s">
        <v>470</v>
      </c>
      <c r="G103" s="16" t="s">
        <v>471</v>
      </c>
      <c r="H103" s="20">
        <v>3</v>
      </c>
      <c r="I103" s="21" t="s">
        <v>40</v>
      </c>
      <c r="J103" s="22">
        <f>'INVOICE FOR CNY'!J103/6.79</f>
        <v>3.5346097201767299</v>
      </c>
      <c r="K103" s="22">
        <f t="shared" si="2"/>
        <v>10.6038291605302</v>
      </c>
      <c r="L103" s="21">
        <v>732690</v>
      </c>
      <c r="M103" s="49" t="s">
        <v>472</v>
      </c>
      <c r="N103" s="39"/>
    </row>
    <row r="104" spans="1:14" s="33" customFormat="1" ht="32.1" customHeight="1">
      <c r="A104" s="15">
        <v>93</v>
      </c>
      <c r="B104" s="16" t="s">
        <v>28</v>
      </c>
      <c r="C104" s="17" t="s">
        <v>473</v>
      </c>
      <c r="D104" s="24" t="s">
        <v>30</v>
      </c>
      <c r="E104" s="16" t="s">
        <v>474</v>
      </c>
      <c r="F104" s="18" t="s">
        <v>475</v>
      </c>
      <c r="G104" s="16" t="s">
        <v>476</v>
      </c>
      <c r="H104" s="20">
        <v>2</v>
      </c>
      <c r="I104" s="21" t="s">
        <v>40</v>
      </c>
      <c r="J104" s="22">
        <f>'INVOICE FOR CNY'!J104/6.79</f>
        <v>4.2709867452135502</v>
      </c>
      <c r="K104" s="22">
        <f t="shared" si="2"/>
        <v>8.5419734904271003</v>
      </c>
      <c r="L104" s="21">
        <v>400921</v>
      </c>
      <c r="M104" s="49" t="s">
        <v>477</v>
      </c>
      <c r="N104" s="39"/>
    </row>
    <row r="105" spans="1:14" s="33" customFormat="1" ht="32.1" customHeight="1">
      <c r="A105" s="15">
        <v>94</v>
      </c>
      <c r="B105" s="16" t="s">
        <v>28</v>
      </c>
      <c r="C105" s="17" t="s">
        <v>478</v>
      </c>
      <c r="D105" s="24" t="s">
        <v>30</v>
      </c>
      <c r="E105" s="16" t="s">
        <v>479</v>
      </c>
      <c r="F105" s="18" t="s">
        <v>480</v>
      </c>
      <c r="G105" s="16" t="s">
        <v>481</v>
      </c>
      <c r="H105" s="20">
        <v>2</v>
      </c>
      <c r="I105" s="21" t="s">
        <v>40</v>
      </c>
      <c r="J105" s="22">
        <f>'INVOICE FOR CNY'!J105/6.79</f>
        <v>1.17820324005891</v>
      </c>
      <c r="K105" s="22">
        <f t="shared" si="2"/>
        <v>2.3564064801178199</v>
      </c>
      <c r="L105" s="21">
        <v>400921</v>
      </c>
      <c r="M105" s="49" t="s">
        <v>482</v>
      </c>
      <c r="N105" s="39"/>
    </row>
    <row r="106" spans="1:14" s="33" customFormat="1" ht="32.1" customHeight="1">
      <c r="A106" s="15">
        <v>95</v>
      </c>
      <c r="B106" s="16" t="s">
        <v>28</v>
      </c>
      <c r="C106" s="17" t="s">
        <v>483</v>
      </c>
      <c r="D106" s="24" t="s">
        <v>43</v>
      </c>
      <c r="E106" s="16" t="s">
        <v>484</v>
      </c>
      <c r="F106" s="18" t="s">
        <v>485</v>
      </c>
      <c r="G106" s="16" t="s">
        <v>486</v>
      </c>
      <c r="H106" s="20">
        <v>2</v>
      </c>
      <c r="I106" s="21" t="s">
        <v>40</v>
      </c>
      <c r="J106" s="22">
        <f>'INVOICE FOR CNY'!J106/6.79</f>
        <v>7.5110456553755496</v>
      </c>
      <c r="K106" s="22">
        <f t="shared" si="2"/>
        <v>15.022091310751099</v>
      </c>
      <c r="L106" s="21">
        <v>400921</v>
      </c>
      <c r="M106" s="49" t="s">
        <v>487</v>
      </c>
      <c r="N106" s="39"/>
    </row>
    <row r="107" spans="1:14" s="33" customFormat="1" ht="32.1" customHeight="1">
      <c r="A107" s="15">
        <v>96</v>
      </c>
      <c r="B107" s="16" t="s">
        <v>28</v>
      </c>
      <c r="C107" s="17" t="s">
        <v>488</v>
      </c>
      <c r="D107" s="24" t="s">
        <v>30</v>
      </c>
      <c r="E107" s="16" t="s">
        <v>489</v>
      </c>
      <c r="F107" s="18" t="s">
        <v>490</v>
      </c>
      <c r="G107" s="16" t="s">
        <v>491</v>
      </c>
      <c r="H107" s="20">
        <v>2</v>
      </c>
      <c r="I107" s="21" t="s">
        <v>40</v>
      </c>
      <c r="J107" s="22">
        <f>'INVOICE FOR CNY'!J107/6.79</f>
        <v>17.378497790868899</v>
      </c>
      <c r="K107" s="22">
        <f t="shared" si="2"/>
        <v>34.756995581737797</v>
      </c>
      <c r="L107" s="21">
        <v>400921</v>
      </c>
      <c r="M107" s="49" t="s">
        <v>492</v>
      </c>
      <c r="N107" s="39"/>
    </row>
    <row r="108" spans="1:14" s="33" customFormat="1" ht="32.1" customHeight="1">
      <c r="A108" s="15">
        <v>97</v>
      </c>
      <c r="B108" s="16" t="s">
        <v>28</v>
      </c>
      <c r="C108" s="17" t="s">
        <v>493</v>
      </c>
      <c r="D108" s="24" t="s">
        <v>30</v>
      </c>
      <c r="E108" s="16" t="s">
        <v>494</v>
      </c>
      <c r="F108" s="18" t="s">
        <v>495</v>
      </c>
      <c r="G108" s="16" t="s">
        <v>496</v>
      </c>
      <c r="H108" s="20">
        <v>2</v>
      </c>
      <c r="I108" s="21" t="s">
        <v>40</v>
      </c>
      <c r="J108" s="22">
        <f>'INVOICE FOR CNY'!J108/6.79</f>
        <v>9.1310751104565497</v>
      </c>
      <c r="K108" s="22">
        <f t="shared" si="2"/>
        <v>18.262150220913099</v>
      </c>
      <c r="L108" s="21">
        <v>400921</v>
      </c>
      <c r="M108" s="49" t="s">
        <v>497</v>
      </c>
      <c r="N108" s="39"/>
    </row>
    <row r="109" spans="1:14" s="33" customFormat="1" ht="32.1" customHeight="1">
      <c r="A109" s="15">
        <v>98</v>
      </c>
      <c r="B109" s="16" t="s">
        <v>28</v>
      </c>
      <c r="C109" s="17" t="s">
        <v>498</v>
      </c>
      <c r="D109" s="24" t="s">
        <v>30</v>
      </c>
      <c r="E109" s="16" t="s">
        <v>499</v>
      </c>
      <c r="F109" s="18" t="s">
        <v>500</v>
      </c>
      <c r="G109" s="16" t="s">
        <v>501</v>
      </c>
      <c r="H109" s="20">
        <v>2</v>
      </c>
      <c r="I109" s="21" t="s">
        <v>40</v>
      </c>
      <c r="J109" s="22">
        <f>'INVOICE FOR CNY'!J109/6.79</f>
        <v>17.231222385861599</v>
      </c>
      <c r="K109" s="22">
        <f t="shared" ref="K109:K140" si="3">H109*J109</f>
        <v>34.462444771723099</v>
      </c>
      <c r="L109" s="21">
        <v>830230</v>
      </c>
      <c r="M109" s="49" t="s">
        <v>502</v>
      </c>
      <c r="N109" s="39"/>
    </row>
    <row r="110" spans="1:14" s="33" customFormat="1" ht="32.1" customHeight="1">
      <c r="A110" s="15">
        <v>99</v>
      </c>
      <c r="B110" s="16" t="s">
        <v>28</v>
      </c>
      <c r="C110" s="17" t="s">
        <v>503</v>
      </c>
      <c r="D110" s="24" t="s">
        <v>30</v>
      </c>
      <c r="E110" s="16" t="s">
        <v>504</v>
      </c>
      <c r="F110" s="18" t="s">
        <v>505</v>
      </c>
      <c r="G110" s="16" t="s">
        <v>506</v>
      </c>
      <c r="H110" s="20">
        <v>2</v>
      </c>
      <c r="I110" s="21" t="s">
        <v>40</v>
      </c>
      <c r="J110" s="22">
        <f>'INVOICE FOR CNY'!J110/6.79</f>
        <v>9.4256259204712798</v>
      </c>
      <c r="K110" s="22">
        <f t="shared" si="3"/>
        <v>18.851251840942599</v>
      </c>
      <c r="L110" s="21">
        <v>732690</v>
      </c>
      <c r="M110" s="49" t="s">
        <v>507</v>
      </c>
      <c r="N110" s="39"/>
    </row>
    <row r="111" spans="1:14" s="33" customFormat="1" ht="32.1" customHeight="1">
      <c r="A111" s="15">
        <v>100</v>
      </c>
      <c r="B111" s="16" t="s">
        <v>28</v>
      </c>
      <c r="C111" s="17" t="s">
        <v>508</v>
      </c>
      <c r="D111" s="24" t="s">
        <v>30</v>
      </c>
      <c r="E111" s="16" t="s">
        <v>509</v>
      </c>
      <c r="F111" s="18" t="s">
        <v>510</v>
      </c>
      <c r="G111" s="16" t="s">
        <v>511</v>
      </c>
      <c r="H111" s="20">
        <v>2</v>
      </c>
      <c r="I111" s="21" t="s">
        <v>40</v>
      </c>
      <c r="J111" s="22">
        <f>'INVOICE FOR CNY'!J111/6.79</f>
        <v>3.5346097201767299</v>
      </c>
      <c r="K111" s="22">
        <f t="shared" si="3"/>
        <v>7.0692194403534598</v>
      </c>
      <c r="L111" s="21">
        <v>848410</v>
      </c>
      <c r="M111" s="49" t="s">
        <v>512</v>
      </c>
      <c r="N111" s="39"/>
    </row>
    <row r="112" spans="1:14" s="33" customFormat="1" ht="32.1" customHeight="1">
      <c r="A112" s="15">
        <v>101</v>
      </c>
      <c r="B112" s="16" t="s">
        <v>28</v>
      </c>
      <c r="C112" s="17" t="s">
        <v>513</v>
      </c>
      <c r="D112" s="24" t="s">
        <v>30</v>
      </c>
      <c r="E112" s="16" t="s">
        <v>514</v>
      </c>
      <c r="F112" s="18" t="s">
        <v>515</v>
      </c>
      <c r="G112" s="16" t="s">
        <v>516</v>
      </c>
      <c r="H112" s="20">
        <v>2</v>
      </c>
      <c r="I112" s="21" t="s">
        <v>40</v>
      </c>
      <c r="J112" s="22">
        <f>'INVOICE FOR CNY'!J112/6.79</f>
        <v>14.580265095729001</v>
      </c>
      <c r="K112" s="22">
        <f t="shared" si="3"/>
        <v>29.160530191458001</v>
      </c>
      <c r="L112" s="21">
        <v>732690</v>
      </c>
      <c r="M112" s="49" t="s">
        <v>517</v>
      </c>
      <c r="N112" s="39"/>
    </row>
    <row r="113" spans="1:14" s="33" customFormat="1" ht="32.1" customHeight="1">
      <c r="A113" s="15">
        <v>102</v>
      </c>
      <c r="B113" s="16" t="s">
        <v>28</v>
      </c>
      <c r="C113" s="17" t="s">
        <v>518</v>
      </c>
      <c r="D113" s="24" t="s">
        <v>30</v>
      </c>
      <c r="E113" s="16" t="s">
        <v>519</v>
      </c>
      <c r="F113" s="18" t="s">
        <v>520</v>
      </c>
      <c r="G113" s="16" t="s">
        <v>521</v>
      </c>
      <c r="H113" s="20">
        <v>5</v>
      </c>
      <c r="I113" s="21" t="s">
        <v>40</v>
      </c>
      <c r="J113" s="22">
        <f>'INVOICE FOR CNY'!J113/6.79</f>
        <v>4.2709867452135502</v>
      </c>
      <c r="K113" s="22">
        <f t="shared" si="3"/>
        <v>21.354933726067699</v>
      </c>
      <c r="L113" s="21">
        <v>848230</v>
      </c>
      <c r="M113" s="49" t="s">
        <v>522</v>
      </c>
      <c r="N113" s="39"/>
    </row>
    <row r="114" spans="1:14" s="33" customFormat="1" ht="32.1" customHeight="1">
      <c r="A114" s="15">
        <v>103</v>
      </c>
      <c r="B114" s="16" t="s">
        <v>28</v>
      </c>
      <c r="C114" s="17" t="s">
        <v>523</v>
      </c>
      <c r="D114" s="24" t="s">
        <v>30</v>
      </c>
      <c r="E114" s="16" t="s">
        <v>524</v>
      </c>
      <c r="F114" s="18" t="s">
        <v>525</v>
      </c>
      <c r="G114" s="16" t="s">
        <v>526</v>
      </c>
      <c r="H114" s="20">
        <v>1</v>
      </c>
      <c r="I114" s="21" t="s">
        <v>34</v>
      </c>
      <c r="J114" s="22">
        <f>'INVOICE FOR CNY'!J114/6.79</f>
        <v>14.8748159057437</v>
      </c>
      <c r="K114" s="22">
        <f t="shared" si="3"/>
        <v>14.8748159057437</v>
      </c>
      <c r="L114" s="21">
        <v>732690</v>
      </c>
      <c r="M114" s="49" t="s">
        <v>527</v>
      </c>
      <c r="N114" s="39"/>
    </row>
    <row r="115" spans="1:14" s="33" customFormat="1" ht="32.1" customHeight="1">
      <c r="A115" s="15">
        <v>104</v>
      </c>
      <c r="B115" s="16" t="s">
        <v>28</v>
      </c>
      <c r="C115" s="17" t="s">
        <v>528</v>
      </c>
      <c r="D115" s="24" t="s">
        <v>30</v>
      </c>
      <c r="E115" s="16" t="s">
        <v>529</v>
      </c>
      <c r="F115" s="18" t="s">
        <v>530</v>
      </c>
      <c r="G115" s="16" t="s">
        <v>531</v>
      </c>
      <c r="H115" s="20">
        <v>1</v>
      </c>
      <c r="I115" s="21" t="s">
        <v>34</v>
      </c>
      <c r="J115" s="22">
        <f>'INVOICE FOR CNY'!J115/6.79</f>
        <v>223.56406480117801</v>
      </c>
      <c r="K115" s="22">
        <f t="shared" si="3"/>
        <v>223.56406480117801</v>
      </c>
      <c r="L115" s="21">
        <v>870894</v>
      </c>
      <c r="M115" s="49" t="s">
        <v>532</v>
      </c>
      <c r="N115" s="39"/>
    </row>
    <row r="116" spans="1:14" s="33" customFormat="1" ht="32.1" customHeight="1">
      <c r="A116" s="15">
        <v>105</v>
      </c>
      <c r="B116" s="16" t="s">
        <v>28</v>
      </c>
      <c r="C116" s="17" t="s">
        <v>533</v>
      </c>
      <c r="D116" s="24" t="s">
        <v>30</v>
      </c>
      <c r="E116" s="16" t="s">
        <v>534</v>
      </c>
      <c r="F116" s="18">
        <v>4534005978</v>
      </c>
      <c r="G116" s="16" t="s">
        <v>535</v>
      </c>
      <c r="H116" s="20">
        <v>1</v>
      </c>
      <c r="I116" s="21" t="s">
        <v>34</v>
      </c>
      <c r="J116" s="22">
        <f>'INVOICE FOR CNY'!J116/6.79</f>
        <v>50.220913107511002</v>
      </c>
      <c r="K116" s="22">
        <f t="shared" si="3"/>
        <v>50.220913107511002</v>
      </c>
      <c r="L116" s="21">
        <v>870894</v>
      </c>
      <c r="M116" s="49" t="s">
        <v>536</v>
      </c>
      <c r="N116" s="39"/>
    </row>
    <row r="117" spans="1:14" s="33" customFormat="1" ht="32.1" customHeight="1">
      <c r="A117" s="15">
        <v>106</v>
      </c>
      <c r="B117" s="16" t="s">
        <v>28</v>
      </c>
      <c r="C117" s="17" t="s">
        <v>537</v>
      </c>
      <c r="D117" s="24" t="s">
        <v>30</v>
      </c>
      <c r="E117" s="16" t="s">
        <v>538</v>
      </c>
      <c r="F117" s="18" t="s">
        <v>539</v>
      </c>
      <c r="G117" s="16" t="s">
        <v>540</v>
      </c>
      <c r="H117" s="20">
        <v>8</v>
      </c>
      <c r="I117" s="21" t="s">
        <v>40</v>
      </c>
      <c r="J117" s="22">
        <f>'INVOICE FOR CNY'!J117/6.79</f>
        <v>75.8468335787923</v>
      </c>
      <c r="K117" s="22">
        <f t="shared" si="3"/>
        <v>606.77466863033897</v>
      </c>
      <c r="L117" s="21">
        <v>870870</v>
      </c>
      <c r="M117" s="49" t="s">
        <v>541</v>
      </c>
      <c r="N117" s="39"/>
    </row>
    <row r="118" spans="1:14" s="33" customFormat="1" ht="32.1" customHeight="1">
      <c r="A118" s="15">
        <v>107</v>
      </c>
      <c r="B118" s="16" t="s">
        <v>28</v>
      </c>
      <c r="C118" s="17" t="s">
        <v>542</v>
      </c>
      <c r="D118" s="24" t="s">
        <v>30</v>
      </c>
      <c r="E118" s="16" t="s">
        <v>543</v>
      </c>
      <c r="F118" s="18">
        <v>4584000237</v>
      </c>
      <c r="G118" s="16" t="s">
        <v>544</v>
      </c>
      <c r="H118" s="20">
        <v>20</v>
      </c>
      <c r="I118" s="21" t="s">
        <v>40</v>
      </c>
      <c r="J118" s="22">
        <f>'INVOICE FOR CNY'!J118/6.79</f>
        <v>31.075110456553801</v>
      </c>
      <c r="K118" s="22">
        <f t="shared" si="3"/>
        <v>621.50220913107501</v>
      </c>
      <c r="L118" s="21">
        <v>870829</v>
      </c>
      <c r="M118" s="49" t="s">
        <v>545</v>
      </c>
      <c r="N118" s="39"/>
    </row>
    <row r="119" spans="1:14" s="33" customFormat="1" ht="32.1" customHeight="1">
      <c r="A119" s="15">
        <v>108</v>
      </c>
      <c r="B119" s="16" t="s">
        <v>28</v>
      </c>
      <c r="C119" s="17" t="s">
        <v>546</v>
      </c>
      <c r="D119" s="24" t="s">
        <v>30</v>
      </c>
      <c r="E119" s="16" t="s">
        <v>547</v>
      </c>
      <c r="F119" s="18">
        <v>4584000238</v>
      </c>
      <c r="G119" s="16" t="s">
        <v>548</v>
      </c>
      <c r="H119" s="20">
        <v>20</v>
      </c>
      <c r="I119" s="21" t="s">
        <v>40</v>
      </c>
      <c r="J119" s="22">
        <f>'INVOICE FOR CNY'!J119/6.79</f>
        <v>31.075110456553801</v>
      </c>
      <c r="K119" s="22">
        <f t="shared" si="3"/>
        <v>621.50220913107501</v>
      </c>
      <c r="L119" s="21">
        <v>870829</v>
      </c>
      <c r="M119" s="49" t="s">
        <v>549</v>
      </c>
      <c r="N119" s="39"/>
    </row>
    <row r="120" spans="1:14" s="33" customFormat="1" ht="32.1" customHeight="1">
      <c r="A120" s="15">
        <v>109</v>
      </c>
      <c r="B120" s="16" t="s">
        <v>28</v>
      </c>
      <c r="C120" s="17" t="s">
        <v>550</v>
      </c>
      <c r="D120" s="24" t="s">
        <v>30</v>
      </c>
      <c r="E120" s="16" t="s">
        <v>551</v>
      </c>
      <c r="F120" s="18">
        <v>4584003485</v>
      </c>
      <c r="G120" s="16" t="s">
        <v>552</v>
      </c>
      <c r="H120" s="20">
        <v>2</v>
      </c>
      <c r="I120" s="21" t="s">
        <v>40</v>
      </c>
      <c r="J120" s="22">
        <f>'INVOICE FOR CNY'!J120/6.79</f>
        <v>13.8438880706922</v>
      </c>
      <c r="K120" s="22">
        <f t="shared" si="3"/>
        <v>27.687776141384401</v>
      </c>
      <c r="L120" s="21">
        <v>870829</v>
      </c>
      <c r="M120" s="49" t="s">
        <v>553</v>
      </c>
      <c r="N120" s="39"/>
    </row>
    <row r="121" spans="1:14" s="33" customFormat="1" ht="32.1" customHeight="1">
      <c r="A121" s="15">
        <v>110</v>
      </c>
      <c r="B121" s="16" t="s">
        <v>28</v>
      </c>
      <c r="C121" s="17" t="s">
        <v>554</v>
      </c>
      <c r="D121" s="24" t="s">
        <v>30</v>
      </c>
      <c r="E121" s="16" t="s">
        <v>555</v>
      </c>
      <c r="F121" s="18">
        <v>4584002352</v>
      </c>
      <c r="G121" s="16" t="s">
        <v>556</v>
      </c>
      <c r="H121" s="20">
        <v>2</v>
      </c>
      <c r="I121" s="21" t="s">
        <v>40</v>
      </c>
      <c r="J121" s="22">
        <f>'INVOICE FOR CNY'!J121/6.79</f>
        <v>3.0927835051546402</v>
      </c>
      <c r="K121" s="22">
        <f t="shared" si="3"/>
        <v>6.1855670103092804</v>
      </c>
      <c r="L121" s="21">
        <v>870829</v>
      </c>
      <c r="M121" s="49" t="s">
        <v>557</v>
      </c>
      <c r="N121" s="39"/>
    </row>
    <row r="122" spans="1:14" s="33" customFormat="1" ht="32.1" customHeight="1">
      <c r="A122" s="15">
        <v>111</v>
      </c>
      <c r="B122" s="16" t="s">
        <v>28</v>
      </c>
      <c r="C122" s="17" t="s">
        <v>558</v>
      </c>
      <c r="D122" s="24" t="s">
        <v>30</v>
      </c>
      <c r="E122" s="16" t="s">
        <v>559</v>
      </c>
      <c r="F122" s="18">
        <v>4584002351</v>
      </c>
      <c r="G122" s="16" t="s">
        <v>560</v>
      </c>
      <c r="H122" s="20">
        <v>20</v>
      </c>
      <c r="I122" s="21" t="s">
        <v>40</v>
      </c>
      <c r="J122" s="22">
        <f>'INVOICE FOR CNY'!J122/6.79</f>
        <v>3.0927835051546402</v>
      </c>
      <c r="K122" s="22">
        <f t="shared" si="3"/>
        <v>61.855670103092798</v>
      </c>
      <c r="L122" s="21">
        <v>870829</v>
      </c>
      <c r="M122" s="49" t="s">
        <v>561</v>
      </c>
      <c r="N122" s="39"/>
    </row>
    <row r="123" spans="1:14" s="33" customFormat="1" ht="32.1" customHeight="1">
      <c r="A123" s="15">
        <v>112</v>
      </c>
      <c r="B123" s="16" t="s">
        <v>28</v>
      </c>
      <c r="C123" s="17" t="s">
        <v>562</v>
      </c>
      <c r="D123" s="24" t="s">
        <v>30</v>
      </c>
      <c r="E123" s="16" t="s">
        <v>563</v>
      </c>
      <c r="F123" s="18">
        <v>4584003486</v>
      </c>
      <c r="G123" s="16" t="s">
        <v>564</v>
      </c>
      <c r="H123" s="20">
        <v>20</v>
      </c>
      <c r="I123" s="21" t="s">
        <v>40</v>
      </c>
      <c r="J123" s="22">
        <f>'INVOICE FOR CNY'!J123/6.79</f>
        <v>13.8438880706922</v>
      </c>
      <c r="K123" s="22">
        <f t="shared" si="3"/>
        <v>276.87776141384398</v>
      </c>
      <c r="L123" s="21">
        <v>870829</v>
      </c>
      <c r="M123" s="49" t="s">
        <v>565</v>
      </c>
      <c r="N123" s="39"/>
    </row>
    <row r="124" spans="1:14" s="33" customFormat="1" ht="32.1" customHeight="1">
      <c r="A124" s="15">
        <v>113</v>
      </c>
      <c r="B124" s="16" t="s">
        <v>28</v>
      </c>
      <c r="C124" s="17" t="s">
        <v>566</v>
      </c>
      <c r="D124" s="24" t="s">
        <v>30</v>
      </c>
      <c r="E124" s="16" t="s">
        <v>567</v>
      </c>
      <c r="F124" s="18">
        <v>4538007595</v>
      </c>
      <c r="G124" s="16" t="s">
        <v>568</v>
      </c>
      <c r="H124" s="20">
        <v>2</v>
      </c>
      <c r="I124" s="21" t="s">
        <v>40</v>
      </c>
      <c r="J124" s="22">
        <f>'INVOICE FOR CNY'!J124/6.79</f>
        <v>28.718703976435901</v>
      </c>
      <c r="K124" s="22">
        <f t="shared" si="3"/>
        <v>57.437407952871901</v>
      </c>
      <c r="L124" s="21">
        <v>870829</v>
      </c>
      <c r="M124" s="49" t="s">
        <v>569</v>
      </c>
      <c r="N124" s="39"/>
    </row>
    <row r="125" spans="1:14" s="33" customFormat="1" ht="32.1" customHeight="1">
      <c r="A125" s="15">
        <v>114</v>
      </c>
      <c r="B125" s="16" t="s">
        <v>28</v>
      </c>
      <c r="C125" s="17" t="s">
        <v>570</v>
      </c>
      <c r="D125" s="24" t="s">
        <v>30</v>
      </c>
      <c r="E125" s="16" t="s">
        <v>571</v>
      </c>
      <c r="F125" s="18">
        <v>4538007594</v>
      </c>
      <c r="G125" s="16" t="s">
        <v>572</v>
      </c>
      <c r="H125" s="20">
        <v>2</v>
      </c>
      <c r="I125" s="21" t="s">
        <v>40</v>
      </c>
      <c r="J125" s="22">
        <f>'INVOICE FOR CNY'!J125/6.79</f>
        <v>33.431516936671599</v>
      </c>
      <c r="K125" s="22">
        <f t="shared" si="3"/>
        <v>66.863033873343198</v>
      </c>
      <c r="L125" s="21">
        <v>870829</v>
      </c>
      <c r="M125" s="49" t="s">
        <v>573</v>
      </c>
      <c r="N125" s="39"/>
    </row>
    <row r="126" spans="1:14" s="33" customFormat="1" ht="32.1" customHeight="1">
      <c r="A126" s="15">
        <v>115</v>
      </c>
      <c r="B126" s="16" t="s">
        <v>28</v>
      </c>
      <c r="C126" s="17" t="s">
        <v>574</v>
      </c>
      <c r="D126" s="24" t="s">
        <v>30</v>
      </c>
      <c r="E126" s="16" t="s">
        <v>575</v>
      </c>
      <c r="F126" s="18">
        <v>4538006239</v>
      </c>
      <c r="G126" s="16" t="s">
        <v>576</v>
      </c>
      <c r="H126" s="20">
        <v>2</v>
      </c>
      <c r="I126" s="21" t="s">
        <v>40</v>
      </c>
      <c r="J126" s="22">
        <f>'INVOICE FOR CNY'!J126/6.79</f>
        <v>15.6111929307806</v>
      </c>
      <c r="K126" s="22">
        <f t="shared" si="3"/>
        <v>31.222385861561101</v>
      </c>
      <c r="L126" s="21">
        <v>870829</v>
      </c>
      <c r="M126" s="49" t="s">
        <v>577</v>
      </c>
      <c r="N126" s="39"/>
    </row>
    <row r="127" spans="1:14" s="33" customFormat="1" ht="32.1" customHeight="1">
      <c r="A127" s="15">
        <v>116</v>
      </c>
      <c r="B127" s="16" t="s">
        <v>28</v>
      </c>
      <c r="C127" s="17" t="s">
        <v>578</v>
      </c>
      <c r="D127" s="24" t="s">
        <v>30</v>
      </c>
      <c r="E127" s="16" t="s">
        <v>579</v>
      </c>
      <c r="F127" s="18">
        <v>4538006243</v>
      </c>
      <c r="G127" s="16" t="s">
        <v>580</v>
      </c>
      <c r="H127" s="20">
        <v>2</v>
      </c>
      <c r="I127" s="21" t="s">
        <v>40</v>
      </c>
      <c r="J127" s="22">
        <f>'INVOICE FOR CNY'!J127/6.79</f>
        <v>15.6111929307806</v>
      </c>
      <c r="K127" s="22">
        <f t="shared" si="3"/>
        <v>31.222385861561101</v>
      </c>
      <c r="L127" s="21">
        <v>870829</v>
      </c>
      <c r="M127" s="49" t="s">
        <v>581</v>
      </c>
      <c r="N127" s="39"/>
    </row>
    <row r="128" spans="1:14" s="33" customFormat="1" ht="32.1" customHeight="1">
      <c r="A128" s="15">
        <v>117</v>
      </c>
      <c r="B128" s="16" t="s">
        <v>28</v>
      </c>
      <c r="C128" s="17" t="s">
        <v>582</v>
      </c>
      <c r="D128" s="24" t="s">
        <v>43</v>
      </c>
      <c r="E128" s="16" t="s">
        <v>583</v>
      </c>
      <c r="F128" s="18">
        <v>4513009140</v>
      </c>
      <c r="G128" s="16" t="s">
        <v>584</v>
      </c>
      <c r="H128" s="20">
        <v>3</v>
      </c>
      <c r="I128" s="21" t="s">
        <v>40</v>
      </c>
      <c r="J128" s="22">
        <f>'INVOICE FOR CNY'!J128/6.79</f>
        <v>2.0618556701030899</v>
      </c>
      <c r="K128" s="22">
        <f t="shared" si="3"/>
        <v>6.1855670103092804</v>
      </c>
      <c r="L128" s="21">
        <v>400921</v>
      </c>
      <c r="M128" s="49" t="s">
        <v>585</v>
      </c>
      <c r="N128" s="39"/>
    </row>
    <row r="129" spans="1:14" s="33" customFormat="1" ht="32.1" customHeight="1">
      <c r="A129" s="15">
        <v>118</v>
      </c>
      <c r="B129" s="16" t="s">
        <v>28</v>
      </c>
      <c r="C129" s="17" t="s">
        <v>586</v>
      </c>
      <c r="D129" s="24" t="s">
        <v>43</v>
      </c>
      <c r="E129" s="16" t="s">
        <v>587</v>
      </c>
      <c r="F129" s="18">
        <v>4513009142</v>
      </c>
      <c r="G129" s="16" t="s">
        <v>588</v>
      </c>
      <c r="H129" s="20">
        <v>3</v>
      </c>
      <c r="I129" s="21" t="s">
        <v>40</v>
      </c>
      <c r="J129" s="22">
        <f>'INVOICE FOR CNY'!J129/6.79</f>
        <v>2.0618556701030899</v>
      </c>
      <c r="K129" s="22">
        <f t="shared" si="3"/>
        <v>6.1855670103092804</v>
      </c>
      <c r="L129" s="21">
        <v>400921</v>
      </c>
      <c r="M129" s="49" t="s">
        <v>589</v>
      </c>
      <c r="N129" s="39"/>
    </row>
    <row r="130" spans="1:14" s="33" customFormat="1" ht="32.1" customHeight="1">
      <c r="A130" s="15">
        <v>119</v>
      </c>
      <c r="B130" s="16" t="s">
        <v>28</v>
      </c>
      <c r="C130" s="17" t="s">
        <v>590</v>
      </c>
      <c r="D130" s="24" t="s">
        <v>43</v>
      </c>
      <c r="E130" s="16" t="s">
        <v>591</v>
      </c>
      <c r="F130" s="18">
        <v>4513009139</v>
      </c>
      <c r="G130" s="16" t="s">
        <v>592</v>
      </c>
      <c r="H130" s="20">
        <v>3</v>
      </c>
      <c r="I130" s="21" t="s">
        <v>40</v>
      </c>
      <c r="J130" s="22">
        <f>'INVOICE FOR CNY'!J130/6.79</f>
        <v>2.0618556701030899</v>
      </c>
      <c r="K130" s="22">
        <f t="shared" si="3"/>
        <v>6.1855670103092804</v>
      </c>
      <c r="L130" s="21">
        <v>400921</v>
      </c>
      <c r="M130" s="49" t="s">
        <v>593</v>
      </c>
      <c r="N130" s="39"/>
    </row>
    <row r="131" spans="1:14" s="33" customFormat="1" ht="32.1" customHeight="1">
      <c r="A131" s="15">
        <v>120</v>
      </c>
      <c r="B131" s="16" t="s">
        <v>28</v>
      </c>
      <c r="C131" s="17" t="s">
        <v>594</v>
      </c>
      <c r="D131" s="24" t="s">
        <v>43</v>
      </c>
      <c r="E131" s="16" t="s">
        <v>595</v>
      </c>
      <c r="F131" s="18">
        <v>4513009141</v>
      </c>
      <c r="G131" s="16" t="s">
        <v>596</v>
      </c>
      <c r="H131" s="20">
        <v>3</v>
      </c>
      <c r="I131" s="21" t="s">
        <v>40</v>
      </c>
      <c r="J131" s="22">
        <f>'INVOICE FOR CNY'!J131/6.79</f>
        <v>3.6818851251840901</v>
      </c>
      <c r="K131" s="22">
        <f t="shared" si="3"/>
        <v>11.0456553755523</v>
      </c>
      <c r="L131" s="21">
        <v>400921</v>
      </c>
      <c r="M131" s="49" t="s">
        <v>597</v>
      </c>
      <c r="N131" s="39"/>
    </row>
    <row r="132" spans="1:14" s="33" customFormat="1" ht="32.1" customHeight="1">
      <c r="A132" s="15">
        <v>121</v>
      </c>
      <c r="B132" s="16" t="s">
        <v>28</v>
      </c>
      <c r="C132" s="17" t="s">
        <v>598</v>
      </c>
      <c r="D132" s="24" t="s">
        <v>30</v>
      </c>
      <c r="E132" s="16" t="s">
        <v>599</v>
      </c>
      <c r="F132" s="18" t="s">
        <v>600</v>
      </c>
      <c r="G132" s="16" t="s">
        <v>601</v>
      </c>
      <c r="H132" s="20">
        <v>2</v>
      </c>
      <c r="I132" s="21" t="s">
        <v>40</v>
      </c>
      <c r="J132" s="22">
        <f>'INVOICE FOR CNY'!J132/6.79</f>
        <v>28.571428571428601</v>
      </c>
      <c r="K132" s="22">
        <f t="shared" si="3"/>
        <v>57.142857142857103</v>
      </c>
      <c r="L132" s="21">
        <v>870829</v>
      </c>
      <c r="M132" s="49" t="s">
        <v>602</v>
      </c>
      <c r="N132" s="39"/>
    </row>
    <row r="133" spans="1:14" s="33" customFormat="1" ht="32.1" customHeight="1">
      <c r="A133" s="15">
        <v>122</v>
      </c>
      <c r="B133" s="16" t="s">
        <v>28</v>
      </c>
      <c r="C133" s="17" t="s">
        <v>603</v>
      </c>
      <c r="D133" s="24" t="s">
        <v>30</v>
      </c>
      <c r="E133" s="16" t="s">
        <v>604</v>
      </c>
      <c r="F133" s="18" t="s">
        <v>605</v>
      </c>
      <c r="G133" s="16" t="s">
        <v>606</v>
      </c>
      <c r="H133" s="20">
        <v>2</v>
      </c>
      <c r="I133" s="21" t="s">
        <v>40</v>
      </c>
      <c r="J133" s="22">
        <f>'INVOICE FOR CNY'!J133/6.79</f>
        <v>28.571428571428601</v>
      </c>
      <c r="K133" s="22">
        <f t="shared" si="3"/>
        <v>57.142857142857103</v>
      </c>
      <c r="L133" s="21">
        <v>870829</v>
      </c>
      <c r="M133" s="49" t="s">
        <v>607</v>
      </c>
      <c r="N133" s="39"/>
    </row>
    <row r="134" spans="1:14" s="33" customFormat="1" ht="32.1" customHeight="1">
      <c r="A134" s="15">
        <v>123</v>
      </c>
      <c r="B134" s="16" t="s">
        <v>28</v>
      </c>
      <c r="C134" s="17" t="s">
        <v>608</v>
      </c>
      <c r="D134" s="24" t="s">
        <v>30</v>
      </c>
      <c r="E134" s="16" t="s">
        <v>609</v>
      </c>
      <c r="F134" s="18" t="s">
        <v>610</v>
      </c>
      <c r="G134" s="16" t="s">
        <v>611</v>
      </c>
      <c r="H134" s="20">
        <v>2</v>
      </c>
      <c r="I134" s="21" t="s">
        <v>40</v>
      </c>
      <c r="J134" s="22">
        <f>'INVOICE FOR CNY'!J134/6.79</f>
        <v>53.902798232695098</v>
      </c>
      <c r="K134" s="22">
        <f t="shared" si="3"/>
        <v>107.80559646539</v>
      </c>
      <c r="L134" s="21">
        <v>870830</v>
      </c>
      <c r="M134" s="49" t="s">
        <v>612</v>
      </c>
      <c r="N134" s="39"/>
    </row>
    <row r="135" spans="1:14" s="33" customFormat="1" ht="32.1" customHeight="1">
      <c r="A135" s="15">
        <v>124</v>
      </c>
      <c r="B135" s="16" t="s">
        <v>28</v>
      </c>
      <c r="C135" s="17" t="s">
        <v>613</v>
      </c>
      <c r="D135" s="24" t="s">
        <v>30</v>
      </c>
      <c r="E135" s="16" t="s">
        <v>614</v>
      </c>
      <c r="F135" s="18" t="s">
        <v>615</v>
      </c>
      <c r="G135" s="16" t="s">
        <v>616</v>
      </c>
      <c r="H135" s="20">
        <v>2</v>
      </c>
      <c r="I135" s="21" t="s">
        <v>40</v>
      </c>
      <c r="J135" s="22">
        <f>'INVOICE FOR CNY'!J135/6.79</f>
        <v>53.902798232695098</v>
      </c>
      <c r="K135" s="22">
        <f t="shared" si="3"/>
        <v>107.80559646539</v>
      </c>
      <c r="L135" s="21">
        <v>870830</v>
      </c>
      <c r="M135" s="49" t="s">
        <v>617</v>
      </c>
      <c r="N135" s="39"/>
    </row>
    <row r="136" spans="1:14" s="33" customFormat="1" ht="32.1" customHeight="1">
      <c r="A136" s="15">
        <v>125</v>
      </c>
      <c r="B136" s="16" t="s">
        <v>28</v>
      </c>
      <c r="C136" s="17" t="s">
        <v>618</v>
      </c>
      <c r="D136" s="24" t="s">
        <v>279</v>
      </c>
      <c r="E136" s="16" t="s">
        <v>619</v>
      </c>
      <c r="F136" s="18" t="s">
        <v>620</v>
      </c>
      <c r="G136" s="16" t="s">
        <v>621</v>
      </c>
      <c r="H136" s="20">
        <v>5</v>
      </c>
      <c r="I136" s="21" t="s">
        <v>40</v>
      </c>
      <c r="J136" s="22">
        <f>'INVOICE FOR CNY'!J136/6.79</f>
        <v>15.4639175257732</v>
      </c>
      <c r="K136" s="22">
        <f t="shared" si="3"/>
        <v>77.319587628866003</v>
      </c>
      <c r="L136" s="21">
        <v>700992</v>
      </c>
      <c r="M136" s="49" t="s">
        <v>622</v>
      </c>
      <c r="N136" s="39"/>
    </row>
    <row r="137" spans="1:14" s="33" customFormat="1" ht="32.1" customHeight="1">
      <c r="A137" s="15">
        <v>126</v>
      </c>
      <c r="B137" s="16" t="s">
        <v>28</v>
      </c>
      <c r="C137" s="17" t="s">
        <v>623</v>
      </c>
      <c r="D137" s="24" t="s">
        <v>279</v>
      </c>
      <c r="E137" s="16" t="s">
        <v>624</v>
      </c>
      <c r="F137" s="18" t="s">
        <v>625</v>
      </c>
      <c r="G137" s="16" t="s">
        <v>626</v>
      </c>
      <c r="H137" s="20">
        <v>5</v>
      </c>
      <c r="I137" s="21" t="s">
        <v>40</v>
      </c>
      <c r="J137" s="22">
        <f>'INVOICE FOR CNY'!J137/6.79</f>
        <v>15.4639175257732</v>
      </c>
      <c r="K137" s="22">
        <f t="shared" si="3"/>
        <v>77.319587628866003</v>
      </c>
      <c r="L137" s="21">
        <v>700992</v>
      </c>
      <c r="M137" s="49" t="s">
        <v>627</v>
      </c>
      <c r="N137" s="39"/>
    </row>
    <row r="138" spans="1:14" s="33" customFormat="1" ht="32.1" customHeight="1">
      <c r="A138" s="15">
        <v>127</v>
      </c>
      <c r="B138" s="16" t="s">
        <v>28</v>
      </c>
      <c r="C138" s="17" t="s">
        <v>628</v>
      </c>
      <c r="D138" s="24" t="s">
        <v>30</v>
      </c>
      <c r="E138" s="16" t="s">
        <v>629</v>
      </c>
      <c r="F138" s="18" t="s">
        <v>630</v>
      </c>
      <c r="G138" s="16" t="s">
        <v>631</v>
      </c>
      <c r="H138" s="20">
        <v>1</v>
      </c>
      <c r="I138" s="21" t="s">
        <v>34</v>
      </c>
      <c r="J138" s="22">
        <f>'INVOICE FOR CNY'!J138/6.79</f>
        <v>46.3917525773196</v>
      </c>
      <c r="K138" s="22">
        <f t="shared" si="3"/>
        <v>46.3917525773196</v>
      </c>
      <c r="L138" s="21">
        <v>870899</v>
      </c>
      <c r="M138" s="49" t="s">
        <v>632</v>
      </c>
      <c r="N138" s="39"/>
    </row>
    <row r="139" spans="1:14" s="33" customFormat="1" ht="32.1" customHeight="1">
      <c r="A139" s="15">
        <v>128</v>
      </c>
      <c r="B139" s="16" t="s">
        <v>28</v>
      </c>
      <c r="C139" s="17" t="s">
        <v>633</v>
      </c>
      <c r="D139" s="24" t="s">
        <v>30</v>
      </c>
      <c r="E139" s="16" t="s">
        <v>634</v>
      </c>
      <c r="F139" s="18">
        <v>4581012641</v>
      </c>
      <c r="G139" s="16" t="s">
        <v>635</v>
      </c>
      <c r="H139" s="20">
        <v>3</v>
      </c>
      <c r="I139" s="21" t="s">
        <v>40</v>
      </c>
      <c r="J139" s="22">
        <f>'INVOICE FOR CNY'!J139/6.79</f>
        <v>15.6111929307806</v>
      </c>
      <c r="K139" s="22">
        <f t="shared" si="3"/>
        <v>46.833578792341697</v>
      </c>
      <c r="L139" s="21">
        <v>400921</v>
      </c>
      <c r="M139" s="49" t="s">
        <v>636</v>
      </c>
      <c r="N139" s="39"/>
    </row>
    <row r="140" spans="1:14" s="33" customFormat="1" ht="32.1" customHeight="1">
      <c r="A140" s="15">
        <v>129</v>
      </c>
      <c r="B140" s="16" t="s">
        <v>28</v>
      </c>
      <c r="C140" s="17" t="s">
        <v>637</v>
      </c>
      <c r="D140" s="24" t="s">
        <v>30</v>
      </c>
      <c r="E140" s="16" t="s">
        <v>638</v>
      </c>
      <c r="F140" s="18">
        <v>4581012640</v>
      </c>
      <c r="G140" s="16" t="s">
        <v>639</v>
      </c>
      <c r="H140" s="20">
        <v>3</v>
      </c>
      <c r="I140" s="21" t="s">
        <v>40</v>
      </c>
      <c r="J140" s="22">
        <f>'INVOICE FOR CNY'!J140/6.79</f>
        <v>16.494845360824701</v>
      </c>
      <c r="K140" s="22">
        <f t="shared" si="3"/>
        <v>49.4845360824742</v>
      </c>
      <c r="L140" s="21">
        <v>400921</v>
      </c>
      <c r="M140" s="49" t="s">
        <v>640</v>
      </c>
      <c r="N140" s="39"/>
    </row>
    <row r="141" spans="1:14" s="33" customFormat="1" ht="32.1" customHeight="1">
      <c r="A141" s="15">
        <v>130</v>
      </c>
      <c r="B141" s="16" t="s">
        <v>28</v>
      </c>
      <c r="C141" s="17" t="s">
        <v>641</v>
      </c>
      <c r="D141" s="24" t="s">
        <v>30</v>
      </c>
      <c r="E141" s="16" t="s">
        <v>642</v>
      </c>
      <c r="F141" s="18">
        <v>4581012639</v>
      </c>
      <c r="G141" s="16" t="s">
        <v>643</v>
      </c>
      <c r="H141" s="20">
        <v>3</v>
      </c>
      <c r="I141" s="21" t="s">
        <v>40</v>
      </c>
      <c r="J141" s="22">
        <f>'INVOICE FOR CNY'!J141/6.79</f>
        <v>11.1929307805596</v>
      </c>
      <c r="K141" s="22">
        <f t="shared" ref="K141:K172" si="4">H141*J141</f>
        <v>33.578792341678898</v>
      </c>
      <c r="L141" s="21">
        <v>400921</v>
      </c>
      <c r="M141" s="49" t="s">
        <v>644</v>
      </c>
      <c r="N141" s="39"/>
    </row>
    <row r="142" spans="1:14" s="33" customFormat="1" ht="32.1" customHeight="1">
      <c r="A142" s="15">
        <v>131</v>
      </c>
      <c r="B142" s="16" t="s">
        <v>28</v>
      </c>
      <c r="C142" s="17" t="s">
        <v>645</v>
      </c>
      <c r="D142" s="24" t="s">
        <v>30</v>
      </c>
      <c r="E142" s="16" t="s">
        <v>646</v>
      </c>
      <c r="F142" s="18">
        <v>4581012638</v>
      </c>
      <c r="G142" s="16" t="s">
        <v>647</v>
      </c>
      <c r="H142" s="20">
        <v>3</v>
      </c>
      <c r="I142" s="21" t="s">
        <v>40</v>
      </c>
      <c r="J142" s="22">
        <f>'INVOICE FOR CNY'!J142/6.79</f>
        <v>16.6421207658321</v>
      </c>
      <c r="K142" s="22">
        <f t="shared" si="4"/>
        <v>49.926362297496297</v>
      </c>
      <c r="L142" s="21">
        <v>400921</v>
      </c>
      <c r="M142" s="49" t="s">
        <v>648</v>
      </c>
      <c r="N142" s="39"/>
    </row>
    <row r="143" spans="1:14" s="33" customFormat="1" ht="32.1" customHeight="1">
      <c r="A143" s="15">
        <v>132</v>
      </c>
      <c r="B143" s="16" t="s">
        <v>28</v>
      </c>
      <c r="C143" s="17" t="s">
        <v>649</v>
      </c>
      <c r="D143" s="24" t="s">
        <v>30</v>
      </c>
      <c r="E143" s="16" t="s">
        <v>650</v>
      </c>
      <c r="F143" s="18">
        <v>4581012637</v>
      </c>
      <c r="G143" s="16" t="s">
        <v>651</v>
      </c>
      <c r="H143" s="20">
        <v>3</v>
      </c>
      <c r="I143" s="21" t="s">
        <v>40</v>
      </c>
      <c r="J143" s="22">
        <f>'INVOICE FOR CNY'!J143/6.79</f>
        <v>39.911634756995603</v>
      </c>
      <c r="K143" s="22">
        <f t="shared" si="4"/>
        <v>119.734904270987</v>
      </c>
      <c r="L143" s="21">
        <v>400921</v>
      </c>
      <c r="M143" s="49" t="s">
        <v>652</v>
      </c>
      <c r="N143" s="39"/>
    </row>
    <row r="144" spans="1:14" s="33" customFormat="1" ht="32.1" customHeight="1">
      <c r="A144" s="15">
        <v>133</v>
      </c>
      <c r="B144" s="16" t="s">
        <v>28</v>
      </c>
      <c r="C144" s="17" t="s">
        <v>653</v>
      </c>
      <c r="D144" s="24" t="s">
        <v>30</v>
      </c>
      <c r="E144" s="16" t="s">
        <v>654</v>
      </c>
      <c r="F144" s="18">
        <v>4581012312</v>
      </c>
      <c r="G144" s="16" t="s">
        <v>655</v>
      </c>
      <c r="H144" s="20">
        <v>2</v>
      </c>
      <c r="I144" s="21" t="s">
        <v>40</v>
      </c>
      <c r="J144" s="22">
        <f>'INVOICE FOR CNY'!J144/6.79</f>
        <v>87.481590574374096</v>
      </c>
      <c r="K144" s="22">
        <f t="shared" si="4"/>
        <v>174.96318114874799</v>
      </c>
      <c r="L144" s="21">
        <v>853710</v>
      </c>
      <c r="M144" s="49" t="s">
        <v>656</v>
      </c>
      <c r="N144" s="39"/>
    </row>
    <row r="145" spans="1:14" s="33" customFormat="1" ht="32.1" customHeight="1">
      <c r="A145" s="15">
        <v>134</v>
      </c>
      <c r="B145" s="16" t="s">
        <v>28</v>
      </c>
      <c r="C145" s="17" t="s">
        <v>657</v>
      </c>
      <c r="D145" s="24" t="s">
        <v>30</v>
      </c>
      <c r="E145" s="16" t="s">
        <v>658</v>
      </c>
      <c r="F145" s="18">
        <v>4581010835</v>
      </c>
      <c r="G145" s="16" t="s">
        <v>659</v>
      </c>
      <c r="H145" s="20">
        <v>1</v>
      </c>
      <c r="I145" s="21" t="s">
        <v>34</v>
      </c>
      <c r="J145" s="22">
        <f>'INVOICE FOR CNY'!J145/6.79</f>
        <v>37.113402061855702</v>
      </c>
      <c r="K145" s="22">
        <f t="shared" si="4"/>
        <v>37.113402061855702</v>
      </c>
      <c r="L145" s="21">
        <v>853710</v>
      </c>
      <c r="M145" s="49" t="s">
        <v>660</v>
      </c>
      <c r="N145" s="39"/>
    </row>
    <row r="146" spans="1:14" s="33" customFormat="1" ht="32.1" customHeight="1">
      <c r="A146" s="15">
        <v>135</v>
      </c>
      <c r="B146" s="16" t="s">
        <v>28</v>
      </c>
      <c r="C146" s="17" t="s">
        <v>661</v>
      </c>
      <c r="D146" s="24" t="s">
        <v>30</v>
      </c>
      <c r="E146" s="16" t="s">
        <v>662</v>
      </c>
      <c r="F146" s="18" t="s">
        <v>663</v>
      </c>
      <c r="G146" s="16" t="s">
        <v>664</v>
      </c>
      <c r="H146" s="20">
        <v>1</v>
      </c>
      <c r="I146" s="21" t="s">
        <v>34</v>
      </c>
      <c r="J146" s="22">
        <f>'INVOICE FOR CNY'!J146/6.79</f>
        <v>304.123711340206</v>
      </c>
      <c r="K146" s="22">
        <f t="shared" si="4"/>
        <v>304.123711340206</v>
      </c>
      <c r="L146" s="21">
        <v>850110</v>
      </c>
      <c r="M146" s="49" t="s">
        <v>665</v>
      </c>
      <c r="N146" s="39"/>
    </row>
    <row r="147" spans="1:14" s="33" customFormat="1" ht="32.1" customHeight="1">
      <c r="A147" s="15">
        <v>136</v>
      </c>
      <c r="B147" s="16" t="s">
        <v>28</v>
      </c>
      <c r="C147" s="17" t="s">
        <v>666</v>
      </c>
      <c r="D147" s="24" t="s">
        <v>30</v>
      </c>
      <c r="E147" s="16" t="s">
        <v>667</v>
      </c>
      <c r="F147" s="18">
        <v>4579003177</v>
      </c>
      <c r="G147" s="16" t="s">
        <v>668</v>
      </c>
      <c r="H147" s="20">
        <v>2</v>
      </c>
      <c r="I147" s="21" t="s">
        <v>40</v>
      </c>
      <c r="J147" s="22">
        <f>'INVOICE FOR CNY'!J147/6.79</f>
        <v>60.824742268041199</v>
      </c>
      <c r="K147" s="22">
        <f t="shared" si="4"/>
        <v>121.649484536082</v>
      </c>
      <c r="L147" s="21">
        <v>853710</v>
      </c>
      <c r="M147" s="49" t="s">
        <v>669</v>
      </c>
      <c r="N147" s="39"/>
    </row>
    <row r="148" spans="1:14" s="33" customFormat="1" ht="32.1" customHeight="1">
      <c r="A148" s="15">
        <v>137</v>
      </c>
      <c r="B148" s="16" t="s">
        <v>28</v>
      </c>
      <c r="C148" s="17" t="s">
        <v>670</v>
      </c>
      <c r="D148" s="24" t="s">
        <v>30</v>
      </c>
      <c r="E148" s="16" t="s">
        <v>671</v>
      </c>
      <c r="F148" s="18">
        <v>4538007094</v>
      </c>
      <c r="G148" s="16" t="s">
        <v>672</v>
      </c>
      <c r="H148" s="20">
        <v>4</v>
      </c>
      <c r="I148" s="21" t="s">
        <v>40</v>
      </c>
      <c r="J148" s="22">
        <f>'INVOICE FOR CNY'!J148/6.79</f>
        <v>33.431516936671599</v>
      </c>
      <c r="K148" s="22">
        <f t="shared" si="4"/>
        <v>133.726067746686</v>
      </c>
      <c r="L148" s="21">
        <v>870829</v>
      </c>
      <c r="M148" s="49" t="s">
        <v>673</v>
      </c>
      <c r="N148" s="39"/>
    </row>
    <row r="149" spans="1:14" s="33" customFormat="1" ht="32.1" customHeight="1">
      <c r="A149" s="15">
        <v>138</v>
      </c>
      <c r="B149" s="16" t="s">
        <v>28</v>
      </c>
      <c r="C149" s="17" t="s">
        <v>674</v>
      </c>
      <c r="D149" s="24" t="s">
        <v>30</v>
      </c>
      <c r="E149" s="16" t="s">
        <v>675</v>
      </c>
      <c r="F149" s="18">
        <v>4538007066</v>
      </c>
      <c r="G149" s="16" t="s">
        <v>676</v>
      </c>
      <c r="H149" s="20">
        <v>4</v>
      </c>
      <c r="I149" s="21" t="s">
        <v>40</v>
      </c>
      <c r="J149" s="22">
        <f>'INVOICE FOR CNY'!J149/6.79</f>
        <v>28.718703976435901</v>
      </c>
      <c r="K149" s="22">
        <f t="shared" si="4"/>
        <v>114.874815905744</v>
      </c>
      <c r="L149" s="21">
        <v>870829</v>
      </c>
      <c r="M149" s="49" t="s">
        <v>677</v>
      </c>
      <c r="N149" s="39"/>
    </row>
    <row r="150" spans="1:14" s="33" customFormat="1" ht="32.1" customHeight="1">
      <c r="A150" s="15">
        <v>139</v>
      </c>
      <c r="B150" s="16" t="s">
        <v>28</v>
      </c>
      <c r="C150" s="17" t="s">
        <v>578</v>
      </c>
      <c r="D150" s="24" t="s">
        <v>30</v>
      </c>
      <c r="E150" s="16" t="s">
        <v>579</v>
      </c>
      <c r="F150" s="18">
        <v>4538007065</v>
      </c>
      <c r="G150" s="16" t="s">
        <v>678</v>
      </c>
      <c r="H150" s="20">
        <v>4</v>
      </c>
      <c r="I150" s="21" t="s">
        <v>40</v>
      </c>
      <c r="J150" s="22">
        <f>'INVOICE FOR CNY'!J150/6.79</f>
        <v>13.6966126656848</v>
      </c>
      <c r="K150" s="22">
        <f t="shared" si="4"/>
        <v>54.786450662739298</v>
      </c>
      <c r="L150" s="21">
        <v>870829</v>
      </c>
      <c r="M150" s="49" t="s">
        <v>679</v>
      </c>
      <c r="N150" s="39"/>
    </row>
    <row r="151" spans="1:14" s="33" customFormat="1" ht="32.1" customHeight="1">
      <c r="A151" s="15">
        <v>140</v>
      </c>
      <c r="B151" s="16" t="s">
        <v>28</v>
      </c>
      <c r="C151" s="17" t="s">
        <v>680</v>
      </c>
      <c r="D151" s="24" t="s">
        <v>30</v>
      </c>
      <c r="E151" s="16" t="s">
        <v>681</v>
      </c>
      <c r="F151" s="18">
        <v>4538007064</v>
      </c>
      <c r="G151" s="16" t="s">
        <v>682</v>
      </c>
      <c r="H151" s="20">
        <v>2</v>
      </c>
      <c r="I151" s="21" t="s">
        <v>40</v>
      </c>
      <c r="J151" s="22">
        <f>'INVOICE FOR CNY'!J151/6.79</f>
        <v>6.03829160530191</v>
      </c>
      <c r="K151" s="22">
        <f t="shared" si="4"/>
        <v>12.0765832106038</v>
      </c>
      <c r="L151" s="21">
        <v>870829</v>
      </c>
      <c r="M151" s="49" t="s">
        <v>683</v>
      </c>
      <c r="N151" s="39"/>
    </row>
    <row r="152" spans="1:14" s="33" customFormat="1" ht="32.1" customHeight="1">
      <c r="A152" s="15">
        <v>141</v>
      </c>
      <c r="B152" s="16" t="s">
        <v>28</v>
      </c>
      <c r="C152" s="17" t="s">
        <v>684</v>
      </c>
      <c r="D152" s="24" t="s">
        <v>30</v>
      </c>
      <c r="E152" s="16" t="s">
        <v>685</v>
      </c>
      <c r="F152" s="18">
        <v>4538006885</v>
      </c>
      <c r="G152" s="16" t="s">
        <v>686</v>
      </c>
      <c r="H152" s="20">
        <v>2</v>
      </c>
      <c r="I152" s="21" t="s">
        <v>40</v>
      </c>
      <c r="J152" s="22">
        <f>'INVOICE FOR CNY'!J152/6.79</f>
        <v>220.029455081001</v>
      </c>
      <c r="K152" s="22">
        <f t="shared" si="4"/>
        <v>440.05891016200297</v>
      </c>
      <c r="L152" s="21">
        <v>853710</v>
      </c>
      <c r="M152" s="49" t="s">
        <v>687</v>
      </c>
      <c r="N152" s="39"/>
    </row>
    <row r="153" spans="1:14" s="33" customFormat="1" ht="32.1" customHeight="1">
      <c r="A153" s="15">
        <v>142</v>
      </c>
      <c r="B153" s="16" t="s">
        <v>28</v>
      </c>
      <c r="C153" s="17" t="s">
        <v>688</v>
      </c>
      <c r="D153" s="24" t="s">
        <v>30</v>
      </c>
      <c r="E153" s="16" t="s">
        <v>689</v>
      </c>
      <c r="F153" s="18">
        <v>4538006244</v>
      </c>
      <c r="G153" s="16" t="s">
        <v>690</v>
      </c>
      <c r="H153" s="20">
        <v>4</v>
      </c>
      <c r="I153" s="21" t="s">
        <v>40</v>
      </c>
      <c r="J153" s="22">
        <f>'INVOICE FOR CNY'!J153/6.79</f>
        <v>6.03829160530191</v>
      </c>
      <c r="K153" s="22">
        <f t="shared" si="4"/>
        <v>24.1531664212077</v>
      </c>
      <c r="L153" s="21">
        <v>870829</v>
      </c>
      <c r="M153" s="49" t="s">
        <v>691</v>
      </c>
      <c r="N153" s="39"/>
    </row>
    <row r="154" spans="1:14" s="33" customFormat="1" ht="32.1" customHeight="1">
      <c r="A154" s="15">
        <v>143</v>
      </c>
      <c r="B154" s="16" t="s">
        <v>28</v>
      </c>
      <c r="C154" s="17" t="s">
        <v>207</v>
      </c>
      <c r="D154" s="24" t="s">
        <v>30</v>
      </c>
      <c r="E154" s="16" t="s">
        <v>692</v>
      </c>
      <c r="F154" s="18">
        <v>4535027036</v>
      </c>
      <c r="G154" s="16" t="s">
        <v>693</v>
      </c>
      <c r="H154" s="20">
        <v>2</v>
      </c>
      <c r="I154" s="21" t="s">
        <v>40</v>
      </c>
      <c r="J154" s="22">
        <f>'INVOICE FOR CNY'!J154/6.79</f>
        <v>6.3328424153166401</v>
      </c>
      <c r="K154" s="22">
        <f t="shared" si="4"/>
        <v>12.6656848306333</v>
      </c>
      <c r="L154" s="21">
        <v>854430</v>
      </c>
      <c r="M154" s="49" t="s">
        <v>694</v>
      </c>
      <c r="N154" s="39"/>
    </row>
    <row r="155" spans="1:14" s="33" customFormat="1" ht="32.1" customHeight="1">
      <c r="A155" s="15">
        <v>144</v>
      </c>
      <c r="B155" s="16" t="s">
        <v>28</v>
      </c>
      <c r="C155" s="17" t="s">
        <v>207</v>
      </c>
      <c r="D155" s="24" t="s">
        <v>30</v>
      </c>
      <c r="E155" s="16" t="s">
        <v>695</v>
      </c>
      <c r="F155" s="18">
        <v>4535027035</v>
      </c>
      <c r="G155" s="16" t="s">
        <v>696</v>
      </c>
      <c r="H155" s="20">
        <v>2</v>
      </c>
      <c r="I155" s="21" t="s">
        <v>40</v>
      </c>
      <c r="J155" s="22">
        <f>'INVOICE FOR CNY'!J155/6.79</f>
        <v>5.8910162002945503</v>
      </c>
      <c r="K155" s="22">
        <f t="shared" si="4"/>
        <v>11.782032400589101</v>
      </c>
      <c r="L155" s="21">
        <v>854430</v>
      </c>
      <c r="M155" s="49" t="s">
        <v>697</v>
      </c>
      <c r="N155" s="39"/>
    </row>
    <row r="156" spans="1:14" s="33" customFormat="1" ht="32.1" customHeight="1">
      <c r="A156" s="15">
        <v>145</v>
      </c>
      <c r="B156" s="16" t="s">
        <v>28</v>
      </c>
      <c r="C156" s="17" t="s">
        <v>207</v>
      </c>
      <c r="D156" s="24" t="s">
        <v>30</v>
      </c>
      <c r="E156" s="16" t="s">
        <v>698</v>
      </c>
      <c r="F156" s="18">
        <v>4535027034</v>
      </c>
      <c r="G156" s="16" t="s">
        <v>699</v>
      </c>
      <c r="H156" s="20">
        <v>2</v>
      </c>
      <c r="I156" s="21" t="s">
        <v>40</v>
      </c>
      <c r="J156" s="22">
        <f>'INVOICE FOR CNY'!J156/6.79</f>
        <v>9.4256259204712798</v>
      </c>
      <c r="K156" s="22">
        <f t="shared" si="4"/>
        <v>18.851251840942599</v>
      </c>
      <c r="L156" s="21">
        <v>854430</v>
      </c>
      <c r="M156" s="49" t="s">
        <v>700</v>
      </c>
      <c r="N156" s="39"/>
    </row>
    <row r="157" spans="1:14" s="33" customFormat="1" ht="32.1" customHeight="1">
      <c r="A157" s="15">
        <v>146</v>
      </c>
      <c r="B157" s="16" t="s">
        <v>28</v>
      </c>
      <c r="C157" s="17" t="s">
        <v>701</v>
      </c>
      <c r="D157" s="24" t="s">
        <v>30</v>
      </c>
      <c r="E157" s="16" t="s">
        <v>702</v>
      </c>
      <c r="F157" s="18">
        <v>4513010116</v>
      </c>
      <c r="G157" s="16" t="s">
        <v>703</v>
      </c>
      <c r="H157" s="20">
        <v>3</v>
      </c>
      <c r="I157" s="21" t="s">
        <v>40</v>
      </c>
      <c r="J157" s="22">
        <f>'INVOICE FOR CNY'!J157/6.79</f>
        <v>7.2164948453608204</v>
      </c>
      <c r="K157" s="22">
        <f t="shared" si="4"/>
        <v>21.6494845360825</v>
      </c>
      <c r="L157" s="21">
        <v>400921</v>
      </c>
      <c r="M157" s="49" t="s">
        <v>704</v>
      </c>
      <c r="N157" s="39"/>
    </row>
    <row r="158" spans="1:14" s="33" customFormat="1" ht="32.1" customHeight="1">
      <c r="A158" s="15">
        <v>147</v>
      </c>
      <c r="B158" s="16" t="s">
        <v>28</v>
      </c>
      <c r="C158" s="17" t="s">
        <v>705</v>
      </c>
      <c r="D158" s="24" t="s">
        <v>43</v>
      </c>
      <c r="E158" s="16" t="s">
        <v>706</v>
      </c>
      <c r="F158" s="18">
        <v>4513010115</v>
      </c>
      <c r="G158" s="16" t="s">
        <v>707</v>
      </c>
      <c r="H158" s="20">
        <v>3</v>
      </c>
      <c r="I158" s="21" t="s">
        <v>40</v>
      </c>
      <c r="J158" s="22">
        <f>'INVOICE FOR CNY'!J158/6.79</f>
        <v>2.0618556701030899</v>
      </c>
      <c r="K158" s="22">
        <f t="shared" si="4"/>
        <v>6.1855670103092804</v>
      </c>
      <c r="L158" s="21">
        <v>400921</v>
      </c>
      <c r="M158" s="49" t="s">
        <v>708</v>
      </c>
      <c r="N158" s="39"/>
    </row>
    <row r="159" spans="1:14" s="33" customFormat="1" ht="32.1" customHeight="1">
      <c r="A159" s="15">
        <v>148</v>
      </c>
      <c r="B159" s="16" t="s">
        <v>28</v>
      </c>
      <c r="C159" s="17" t="s">
        <v>709</v>
      </c>
      <c r="D159" s="24" t="s">
        <v>43</v>
      </c>
      <c r="E159" s="16" t="s">
        <v>710</v>
      </c>
      <c r="F159" s="18">
        <v>4513009147</v>
      </c>
      <c r="G159" s="16" t="s">
        <v>711</v>
      </c>
      <c r="H159" s="20">
        <v>3</v>
      </c>
      <c r="I159" s="21" t="s">
        <v>40</v>
      </c>
      <c r="J159" s="22">
        <f>'INVOICE FOR CNY'!J159/6.79</f>
        <v>1.0309278350515501</v>
      </c>
      <c r="K159" s="22">
        <f t="shared" si="4"/>
        <v>3.0927835051546402</v>
      </c>
      <c r="L159" s="21">
        <v>400921</v>
      </c>
      <c r="M159" s="49" t="s">
        <v>712</v>
      </c>
      <c r="N159" s="39"/>
    </row>
    <row r="160" spans="1:14" s="33" customFormat="1" ht="32.1" customHeight="1">
      <c r="A160" s="15">
        <v>149</v>
      </c>
      <c r="B160" s="16" t="s">
        <v>28</v>
      </c>
      <c r="C160" s="17" t="s">
        <v>713</v>
      </c>
      <c r="D160" s="24" t="s">
        <v>30</v>
      </c>
      <c r="E160" s="16" t="s">
        <v>714</v>
      </c>
      <c r="F160" s="18">
        <v>4513009138</v>
      </c>
      <c r="G160" s="16" t="s">
        <v>715</v>
      </c>
      <c r="H160" s="20">
        <v>3</v>
      </c>
      <c r="I160" s="21" t="s">
        <v>40</v>
      </c>
      <c r="J160" s="22">
        <f>'INVOICE FOR CNY'!J160/6.79</f>
        <v>1.3254786450662699</v>
      </c>
      <c r="K160" s="22">
        <f t="shared" si="4"/>
        <v>3.9764359351988201</v>
      </c>
      <c r="L160" s="21">
        <v>400921</v>
      </c>
      <c r="M160" s="49" t="s">
        <v>716</v>
      </c>
      <c r="N160" s="39"/>
    </row>
    <row r="161" spans="1:14" s="33" customFormat="1" ht="32.1" customHeight="1">
      <c r="A161" s="15">
        <v>150</v>
      </c>
      <c r="B161" s="16" t="s">
        <v>28</v>
      </c>
      <c r="C161" s="17" t="s">
        <v>713</v>
      </c>
      <c r="D161" s="24" t="s">
        <v>30</v>
      </c>
      <c r="E161" s="16" t="s">
        <v>714</v>
      </c>
      <c r="F161" s="18">
        <v>4513009137</v>
      </c>
      <c r="G161" s="16" t="s">
        <v>717</v>
      </c>
      <c r="H161" s="20">
        <v>3</v>
      </c>
      <c r="I161" s="21" t="s">
        <v>40</v>
      </c>
      <c r="J161" s="22">
        <f>'INVOICE FOR CNY'!J161/6.79</f>
        <v>1.0309278350515501</v>
      </c>
      <c r="K161" s="22">
        <f t="shared" si="4"/>
        <v>3.0927835051546402</v>
      </c>
      <c r="L161" s="21">
        <v>400921</v>
      </c>
      <c r="M161" s="49" t="s">
        <v>718</v>
      </c>
      <c r="N161" s="39"/>
    </row>
    <row r="162" spans="1:14" s="33" customFormat="1" ht="32.1" customHeight="1">
      <c r="A162" s="15">
        <v>151</v>
      </c>
      <c r="B162" s="16" t="s">
        <v>28</v>
      </c>
      <c r="C162" s="17" t="s">
        <v>719</v>
      </c>
      <c r="D162" s="24" t="s">
        <v>43</v>
      </c>
      <c r="E162" s="16" t="s">
        <v>720</v>
      </c>
      <c r="F162" s="18">
        <v>4513009133</v>
      </c>
      <c r="G162" s="16" t="s">
        <v>721</v>
      </c>
      <c r="H162" s="20">
        <v>3</v>
      </c>
      <c r="I162" s="21" t="s">
        <v>40</v>
      </c>
      <c r="J162" s="22">
        <f>'INVOICE FOR CNY'!J162/6.79</f>
        <v>5.3019145802651</v>
      </c>
      <c r="K162" s="22">
        <f t="shared" si="4"/>
        <v>15.9057437407953</v>
      </c>
      <c r="L162" s="21">
        <v>400921</v>
      </c>
      <c r="M162" s="49" t="s">
        <v>722</v>
      </c>
      <c r="N162" s="39"/>
    </row>
    <row r="163" spans="1:14" s="33" customFormat="1" ht="32.1" customHeight="1">
      <c r="A163" s="15">
        <v>152</v>
      </c>
      <c r="B163" s="16" t="s">
        <v>28</v>
      </c>
      <c r="C163" s="17" t="s">
        <v>723</v>
      </c>
      <c r="D163" s="24" t="s">
        <v>43</v>
      </c>
      <c r="E163" s="16" t="s">
        <v>724</v>
      </c>
      <c r="F163" s="18">
        <v>4513009132</v>
      </c>
      <c r="G163" s="16" t="s">
        <v>725</v>
      </c>
      <c r="H163" s="20">
        <v>3</v>
      </c>
      <c r="I163" s="21" t="s">
        <v>40</v>
      </c>
      <c r="J163" s="22">
        <f>'INVOICE FOR CNY'!J163/6.79</f>
        <v>1.47275405007364</v>
      </c>
      <c r="K163" s="22">
        <f t="shared" si="4"/>
        <v>4.4182621502209098</v>
      </c>
      <c r="L163" s="21">
        <v>400921</v>
      </c>
      <c r="M163" s="49" t="s">
        <v>726</v>
      </c>
      <c r="N163" s="39"/>
    </row>
    <row r="164" spans="1:14" s="33" customFormat="1" ht="32.1" customHeight="1">
      <c r="A164" s="15">
        <v>153</v>
      </c>
      <c r="B164" s="16" t="s">
        <v>28</v>
      </c>
      <c r="C164" s="17" t="s">
        <v>727</v>
      </c>
      <c r="D164" s="24" t="s">
        <v>30</v>
      </c>
      <c r="E164" s="16" t="s">
        <v>728</v>
      </c>
      <c r="F164" s="18">
        <v>4513009131</v>
      </c>
      <c r="G164" s="16" t="s">
        <v>729</v>
      </c>
      <c r="H164" s="20">
        <v>3</v>
      </c>
      <c r="I164" s="21" t="s">
        <v>40</v>
      </c>
      <c r="J164" s="22">
        <f>'INVOICE FOR CNY'!J164/6.79</f>
        <v>13.4020618556701</v>
      </c>
      <c r="K164" s="22">
        <f t="shared" si="4"/>
        <v>40.206185567010301</v>
      </c>
      <c r="L164" s="21">
        <v>400921</v>
      </c>
      <c r="M164" s="49" t="s">
        <v>730</v>
      </c>
      <c r="N164" s="39"/>
    </row>
    <row r="165" spans="1:14" s="33" customFormat="1" ht="32.1" customHeight="1">
      <c r="A165" s="15">
        <v>154</v>
      </c>
      <c r="B165" s="16" t="s">
        <v>28</v>
      </c>
      <c r="C165" s="17" t="s">
        <v>731</v>
      </c>
      <c r="D165" s="24" t="s">
        <v>30</v>
      </c>
      <c r="E165" s="16" t="s">
        <v>732</v>
      </c>
      <c r="F165" s="18">
        <v>4513009130</v>
      </c>
      <c r="G165" s="16" t="s">
        <v>733</v>
      </c>
      <c r="H165" s="20">
        <v>3</v>
      </c>
      <c r="I165" s="21" t="s">
        <v>40</v>
      </c>
      <c r="J165" s="22">
        <f>'INVOICE FOR CNY'!J165/6.79</f>
        <v>10.1620029455081</v>
      </c>
      <c r="K165" s="22">
        <f t="shared" si="4"/>
        <v>30.486008836524299</v>
      </c>
      <c r="L165" s="21">
        <v>400921</v>
      </c>
      <c r="M165" s="49" t="s">
        <v>734</v>
      </c>
      <c r="N165" s="39"/>
    </row>
    <row r="166" spans="1:14" s="33" customFormat="1" ht="32.1" customHeight="1">
      <c r="A166" s="15">
        <v>155</v>
      </c>
      <c r="B166" s="16" t="s">
        <v>28</v>
      </c>
      <c r="C166" s="17" t="s">
        <v>735</v>
      </c>
      <c r="D166" s="24" t="s">
        <v>43</v>
      </c>
      <c r="E166" s="16" t="s">
        <v>736</v>
      </c>
      <c r="F166" s="18">
        <v>4513009128</v>
      </c>
      <c r="G166" s="16" t="s">
        <v>737</v>
      </c>
      <c r="H166" s="20">
        <v>3</v>
      </c>
      <c r="I166" s="21" t="s">
        <v>40</v>
      </c>
      <c r="J166" s="22">
        <f>'INVOICE FOR CNY'!J166/6.79</f>
        <v>1.91458026509573</v>
      </c>
      <c r="K166" s="22">
        <f t="shared" si="4"/>
        <v>5.7437407952871897</v>
      </c>
      <c r="L166" s="21">
        <v>400921</v>
      </c>
      <c r="M166" s="49" t="s">
        <v>738</v>
      </c>
      <c r="N166" s="39"/>
    </row>
    <row r="167" spans="1:14" s="33" customFormat="1" ht="32.1" customHeight="1">
      <c r="A167" s="15">
        <v>156</v>
      </c>
      <c r="B167" s="16" t="s">
        <v>28</v>
      </c>
      <c r="C167" s="17" t="s">
        <v>739</v>
      </c>
      <c r="D167" s="24" t="s">
        <v>43</v>
      </c>
      <c r="E167" s="16" t="s">
        <v>740</v>
      </c>
      <c r="F167" s="18">
        <v>4513009126</v>
      </c>
      <c r="G167" s="16" t="s">
        <v>741</v>
      </c>
      <c r="H167" s="20">
        <v>3</v>
      </c>
      <c r="I167" s="21" t="s">
        <v>40</v>
      </c>
      <c r="J167" s="22">
        <f>'INVOICE FOR CNY'!J167/6.79</f>
        <v>2.3564064801178199</v>
      </c>
      <c r="K167" s="22">
        <f t="shared" si="4"/>
        <v>7.0692194403534598</v>
      </c>
      <c r="L167" s="21">
        <v>400921</v>
      </c>
      <c r="M167" s="49" t="s">
        <v>742</v>
      </c>
      <c r="N167" s="39"/>
    </row>
    <row r="168" spans="1:14" s="33" customFormat="1" ht="32.1" customHeight="1">
      <c r="A168" s="15">
        <v>157</v>
      </c>
      <c r="B168" s="16" t="s">
        <v>28</v>
      </c>
      <c r="C168" s="17" t="s">
        <v>743</v>
      </c>
      <c r="D168" s="24" t="s">
        <v>43</v>
      </c>
      <c r="E168" s="16" t="s">
        <v>744</v>
      </c>
      <c r="F168" s="18">
        <v>4513009125</v>
      </c>
      <c r="G168" s="16" t="s">
        <v>745</v>
      </c>
      <c r="H168" s="20">
        <v>3</v>
      </c>
      <c r="I168" s="21" t="s">
        <v>40</v>
      </c>
      <c r="J168" s="22">
        <f>'INVOICE FOR CNY'!J168/6.79</f>
        <v>2.3564064801178199</v>
      </c>
      <c r="K168" s="22">
        <f t="shared" si="4"/>
        <v>7.0692194403534598</v>
      </c>
      <c r="L168" s="21">
        <v>400921</v>
      </c>
      <c r="M168" s="49" t="s">
        <v>746</v>
      </c>
      <c r="N168" s="39"/>
    </row>
    <row r="169" spans="1:14" s="33" customFormat="1" ht="32.1" customHeight="1">
      <c r="A169" s="15">
        <v>158</v>
      </c>
      <c r="B169" s="16" t="s">
        <v>28</v>
      </c>
      <c r="C169" s="17" t="s">
        <v>747</v>
      </c>
      <c r="D169" s="24" t="s">
        <v>30</v>
      </c>
      <c r="E169" s="16" t="s">
        <v>748</v>
      </c>
      <c r="F169" s="18">
        <v>4513009121</v>
      </c>
      <c r="G169" s="16" t="s">
        <v>749</v>
      </c>
      <c r="H169" s="20">
        <v>3</v>
      </c>
      <c r="I169" s="21" t="s">
        <v>40</v>
      </c>
      <c r="J169" s="22">
        <f>'INVOICE FOR CNY'!J169/6.79</f>
        <v>2.3564064801178199</v>
      </c>
      <c r="K169" s="22">
        <f t="shared" si="4"/>
        <v>7.0692194403534598</v>
      </c>
      <c r="L169" s="21">
        <v>848410</v>
      </c>
      <c r="M169" s="49" t="s">
        <v>750</v>
      </c>
      <c r="N169" s="39"/>
    </row>
    <row r="170" spans="1:14" s="33" customFormat="1" ht="32.1" customHeight="1">
      <c r="A170" s="15">
        <v>159</v>
      </c>
      <c r="B170" s="16" t="s">
        <v>28</v>
      </c>
      <c r="C170" s="17" t="s">
        <v>751</v>
      </c>
      <c r="D170" s="24" t="s">
        <v>43</v>
      </c>
      <c r="E170" s="16" t="s">
        <v>752</v>
      </c>
      <c r="F170" s="18" t="s">
        <v>753</v>
      </c>
      <c r="G170" s="16" t="s">
        <v>754</v>
      </c>
      <c r="H170" s="20">
        <v>3</v>
      </c>
      <c r="I170" s="21" t="s">
        <v>40</v>
      </c>
      <c r="J170" s="22">
        <f>'INVOICE FOR CNY'!J170/6.79</f>
        <v>9.2783505154639201</v>
      </c>
      <c r="K170" s="22">
        <f t="shared" si="4"/>
        <v>27.835051546391799</v>
      </c>
      <c r="L170" s="21">
        <v>400921</v>
      </c>
      <c r="M170" s="49" t="s">
        <v>755</v>
      </c>
      <c r="N170" s="39"/>
    </row>
    <row r="171" spans="1:14" s="33" customFormat="1" ht="32.1" customHeight="1">
      <c r="A171" s="15">
        <v>160</v>
      </c>
      <c r="B171" s="16" t="s">
        <v>28</v>
      </c>
      <c r="C171" s="17" t="s">
        <v>756</v>
      </c>
      <c r="D171" s="24" t="s">
        <v>30</v>
      </c>
      <c r="E171" s="16" t="s">
        <v>757</v>
      </c>
      <c r="F171" s="18" t="s">
        <v>758</v>
      </c>
      <c r="G171" s="16" t="s">
        <v>759</v>
      </c>
      <c r="H171" s="20">
        <v>3</v>
      </c>
      <c r="I171" s="21" t="s">
        <v>40</v>
      </c>
      <c r="J171" s="22">
        <f>'INVOICE FOR CNY'!J171/6.79</f>
        <v>1.0309278350515501</v>
      </c>
      <c r="K171" s="22">
        <f t="shared" si="4"/>
        <v>3.0927835051546402</v>
      </c>
      <c r="L171" s="21">
        <v>400921</v>
      </c>
      <c r="M171" s="49" t="s">
        <v>760</v>
      </c>
      <c r="N171" s="39"/>
    </row>
    <row r="172" spans="1:14" s="33" customFormat="1" ht="32.1" customHeight="1">
      <c r="A172" s="15">
        <v>161</v>
      </c>
      <c r="B172" s="16" t="s">
        <v>28</v>
      </c>
      <c r="C172" s="17" t="s">
        <v>761</v>
      </c>
      <c r="D172" s="24" t="s">
        <v>30</v>
      </c>
      <c r="E172" s="16" t="s">
        <v>762</v>
      </c>
      <c r="F172" s="18" t="s">
        <v>763</v>
      </c>
      <c r="G172" s="16" t="s">
        <v>764</v>
      </c>
      <c r="H172" s="20">
        <v>3</v>
      </c>
      <c r="I172" s="21" t="s">
        <v>40</v>
      </c>
      <c r="J172" s="22">
        <f>'INVOICE FOR CNY'!J172/6.79</f>
        <v>3.0927835051546402</v>
      </c>
      <c r="K172" s="22">
        <f t="shared" si="4"/>
        <v>9.2783505154639201</v>
      </c>
      <c r="L172" s="21">
        <v>400921</v>
      </c>
      <c r="M172" s="49" t="s">
        <v>765</v>
      </c>
      <c r="N172" s="39"/>
    </row>
    <row r="173" spans="1:14" s="33" customFormat="1" ht="32.1" customHeight="1">
      <c r="A173" s="15">
        <v>162</v>
      </c>
      <c r="B173" s="16" t="s">
        <v>28</v>
      </c>
      <c r="C173" s="17" t="s">
        <v>493</v>
      </c>
      <c r="D173" s="24" t="s">
        <v>30</v>
      </c>
      <c r="E173" s="16" t="s">
        <v>766</v>
      </c>
      <c r="F173" s="18" t="s">
        <v>767</v>
      </c>
      <c r="G173" s="16" t="s">
        <v>768</v>
      </c>
      <c r="H173" s="20">
        <v>3</v>
      </c>
      <c r="I173" s="21" t="s">
        <v>40</v>
      </c>
      <c r="J173" s="22">
        <f>'INVOICE FOR CNY'!J173/6.79</f>
        <v>3.82916053019146</v>
      </c>
      <c r="K173" s="22">
        <f t="shared" ref="K173:K190" si="5">H173*J173</f>
        <v>11.487481590574401</v>
      </c>
      <c r="L173" s="21">
        <v>400921</v>
      </c>
      <c r="M173" s="49" t="s">
        <v>769</v>
      </c>
      <c r="N173" s="39"/>
    </row>
    <row r="174" spans="1:14" s="33" customFormat="1" ht="32.1" customHeight="1">
      <c r="A174" s="15">
        <v>163</v>
      </c>
      <c r="B174" s="16" t="s">
        <v>28</v>
      </c>
      <c r="C174" s="17" t="s">
        <v>770</v>
      </c>
      <c r="D174" s="24" t="s">
        <v>30</v>
      </c>
      <c r="E174" s="16" t="s">
        <v>771</v>
      </c>
      <c r="F174" s="18" t="s">
        <v>772</v>
      </c>
      <c r="G174" s="16" t="s">
        <v>773</v>
      </c>
      <c r="H174" s="20">
        <v>3</v>
      </c>
      <c r="I174" s="21" t="s">
        <v>40</v>
      </c>
      <c r="J174" s="22">
        <f>'INVOICE FOR CNY'!J174/6.79</f>
        <v>4.2709867452135502</v>
      </c>
      <c r="K174" s="22">
        <f t="shared" si="5"/>
        <v>12.812960235640601</v>
      </c>
      <c r="L174" s="21">
        <v>400921</v>
      </c>
      <c r="M174" s="49" t="s">
        <v>774</v>
      </c>
      <c r="N174" s="39"/>
    </row>
    <row r="175" spans="1:14" s="33" customFormat="1" ht="32.1" customHeight="1">
      <c r="A175" s="15">
        <v>164</v>
      </c>
      <c r="B175" s="16" t="s">
        <v>28</v>
      </c>
      <c r="C175" s="17" t="s">
        <v>775</v>
      </c>
      <c r="D175" s="24" t="s">
        <v>30</v>
      </c>
      <c r="E175" s="16" t="s">
        <v>776</v>
      </c>
      <c r="F175" s="18" t="s">
        <v>777</v>
      </c>
      <c r="G175" s="16" t="s">
        <v>778</v>
      </c>
      <c r="H175" s="20">
        <v>3</v>
      </c>
      <c r="I175" s="21" t="s">
        <v>40</v>
      </c>
      <c r="J175" s="22">
        <f>'INVOICE FOR CNY'!J175/6.79</f>
        <v>4.2709867452135502</v>
      </c>
      <c r="K175" s="22">
        <f t="shared" si="5"/>
        <v>12.812960235640601</v>
      </c>
      <c r="L175" s="21">
        <v>400921</v>
      </c>
      <c r="M175" s="49" t="s">
        <v>779</v>
      </c>
      <c r="N175" s="39"/>
    </row>
    <row r="176" spans="1:14" s="33" customFormat="1" ht="32.1" customHeight="1">
      <c r="A176" s="15">
        <v>165</v>
      </c>
      <c r="B176" s="16" t="s">
        <v>28</v>
      </c>
      <c r="C176" s="17" t="s">
        <v>90</v>
      </c>
      <c r="D176" s="24" t="s">
        <v>30</v>
      </c>
      <c r="E176" s="16" t="s">
        <v>780</v>
      </c>
      <c r="F176" s="18" t="s">
        <v>781</v>
      </c>
      <c r="G176" s="16" t="s">
        <v>782</v>
      </c>
      <c r="H176" s="20">
        <v>3</v>
      </c>
      <c r="I176" s="21" t="s">
        <v>40</v>
      </c>
      <c r="J176" s="22">
        <f>'INVOICE FOR CNY'!J176/6.79</f>
        <v>4.4182621502209098</v>
      </c>
      <c r="K176" s="22">
        <f t="shared" si="5"/>
        <v>13.254786450662699</v>
      </c>
      <c r="L176" s="21">
        <v>853690</v>
      </c>
      <c r="M176" s="49" t="s">
        <v>783</v>
      </c>
      <c r="N176" s="39"/>
    </row>
    <row r="177" spans="1:14" s="33" customFormat="1" ht="32.1" customHeight="1">
      <c r="A177" s="15">
        <v>166</v>
      </c>
      <c r="B177" s="16" t="s">
        <v>28</v>
      </c>
      <c r="C177" s="17" t="s">
        <v>784</v>
      </c>
      <c r="D177" s="24" t="s">
        <v>30</v>
      </c>
      <c r="E177" s="16" t="s">
        <v>785</v>
      </c>
      <c r="F177" s="18" t="s">
        <v>786</v>
      </c>
      <c r="G177" s="16" t="s">
        <v>787</v>
      </c>
      <c r="H177" s="20">
        <v>5</v>
      </c>
      <c r="I177" s="21" t="s">
        <v>40</v>
      </c>
      <c r="J177" s="22">
        <f>'INVOICE FOR CNY'!J177/6.79</f>
        <v>1.6200294550809999</v>
      </c>
      <c r="K177" s="22">
        <f t="shared" si="5"/>
        <v>8.1001472754050106</v>
      </c>
      <c r="L177" s="21">
        <v>853710</v>
      </c>
      <c r="M177" s="49" t="s">
        <v>788</v>
      </c>
      <c r="N177" s="39"/>
    </row>
    <row r="178" spans="1:14" s="33" customFormat="1" ht="32.1" customHeight="1">
      <c r="A178" s="15">
        <v>167</v>
      </c>
      <c r="B178" s="16" t="s">
        <v>28</v>
      </c>
      <c r="C178" s="17" t="s">
        <v>789</v>
      </c>
      <c r="D178" s="24" t="s">
        <v>30</v>
      </c>
      <c r="E178" s="16" t="s">
        <v>790</v>
      </c>
      <c r="F178" s="18" t="s">
        <v>791</v>
      </c>
      <c r="G178" s="16" t="s">
        <v>792</v>
      </c>
      <c r="H178" s="20">
        <v>5</v>
      </c>
      <c r="I178" s="21" t="s">
        <v>40</v>
      </c>
      <c r="J178" s="22">
        <f>'INVOICE FOR CNY'!J178/6.79</f>
        <v>1.6200294550809999</v>
      </c>
      <c r="K178" s="22">
        <f t="shared" si="5"/>
        <v>8.1001472754050106</v>
      </c>
      <c r="L178" s="21">
        <v>853710</v>
      </c>
      <c r="M178" s="49" t="s">
        <v>793</v>
      </c>
      <c r="N178" s="39"/>
    </row>
    <row r="179" spans="1:14" s="33" customFormat="1" ht="32.1" customHeight="1">
      <c r="A179" s="15">
        <v>168</v>
      </c>
      <c r="B179" s="16" t="s">
        <v>28</v>
      </c>
      <c r="C179" s="17" t="s">
        <v>794</v>
      </c>
      <c r="D179" s="24" t="s">
        <v>30</v>
      </c>
      <c r="E179" s="16" t="s">
        <v>795</v>
      </c>
      <c r="F179" s="18" t="s">
        <v>796</v>
      </c>
      <c r="G179" s="16" t="s">
        <v>797</v>
      </c>
      <c r="H179" s="20">
        <v>5</v>
      </c>
      <c r="I179" s="21" t="s">
        <v>40</v>
      </c>
      <c r="J179" s="22">
        <f>'INVOICE FOR CNY'!J179/6.79</f>
        <v>1.6200294550809999</v>
      </c>
      <c r="K179" s="22">
        <f t="shared" si="5"/>
        <v>8.1001472754050106</v>
      </c>
      <c r="L179" s="21">
        <v>853710</v>
      </c>
      <c r="M179" s="49" t="s">
        <v>798</v>
      </c>
      <c r="N179" s="39"/>
    </row>
    <row r="180" spans="1:14" s="33" customFormat="1" ht="32.1" customHeight="1">
      <c r="A180" s="15">
        <v>169</v>
      </c>
      <c r="B180" s="16" t="s">
        <v>28</v>
      </c>
      <c r="C180" s="17" t="s">
        <v>799</v>
      </c>
      <c r="D180" s="24" t="s">
        <v>30</v>
      </c>
      <c r="E180" s="16" t="s">
        <v>800</v>
      </c>
      <c r="F180" s="18" t="s">
        <v>801</v>
      </c>
      <c r="G180" s="16" t="s">
        <v>802</v>
      </c>
      <c r="H180" s="20">
        <v>5</v>
      </c>
      <c r="I180" s="21" t="s">
        <v>40</v>
      </c>
      <c r="J180" s="22">
        <f>'INVOICE FOR CNY'!J180/6.79</f>
        <v>1.6200294550809999</v>
      </c>
      <c r="K180" s="22">
        <f t="shared" si="5"/>
        <v>8.1001472754050106</v>
      </c>
      <c r="L180" s="21">
        <v>853710</v>
      </c>
      <c r="M180" s="49" t="s">
        <v>803</v>
      </c>
      <c r="N180" s="39"/>
    </row>
    <row r="181" spans="1:14" s="33" customFormat="1" ht="32.1" customHeight="1">
      <c r="A181" s="15">
        <v>170</v>
      </c>
      <c r="B181" s="16" t="s">
        <v>28</v>
      </c>
      <c r="C181" s="17" t="s">
        <v>804</v>
      </c>
      <c r="D181" s="24" t="s">
        <v>30</v>
      </c>
      <c r="E181" s="16" t="s">
        <v>805</v>
      </c>
      <c r="F181" s="18" t="s">
        <v>806</v>
      </c>
      <c r="G181" s="16" t="s">
        <v>807</v>
      </c>
      <c r="H181" s="20">
        <v>1</v>
      </c>
      <c r="I181" s="21" t="s">
        <v>34</v>
      </c>
      <c r="J181" s="22">
        <f>'INVOICE FOR CNY'!J181/6.79</f>
        <v>25.036818851251802</v>
      </c>
      <c r="K181" s="22">
        <f t="shared" si="5"/>
        <v>25.036818851251802</v>
      </c>
      <c r="L181" s="21">
        <v>853710</v>
      </c>
      <c r="M181" s="49" t="s">
        <v>808</v>
      </c>
      <c r="N181" s="39"/>
    </row>
    <row r="182" spans="1:14" s="33" customFormat="1" ht="32.1" customHeight="1">
      <c r="A182" s="15">
        <v>171</v>
      </c>
      <c r="B182" s="16" t="s">
        <v>28</v>
      </c>
      <c r="C182" s="17" t="s">
        <v>809</v>
      </c>
      <c r="D182" s="24" t="s">
        <v>30</v>
      </c>
      <c r="E182" s="16" t="s">
        <v>810</v>
      </c>
      <c r="F182" s="18" t="s">
        <v>811</v>
      </c>
      <c r="G182" s="16" t="s">
        <v>812</v>
      </c>
      <c r="H182" s="20">
        <v>3</v>
      </c>
      <c r="I182" s="21" t="s">
        <v>40</v>
      </c>
      <c r="J182" s="22">
        <f>'INVOICE FOR CNY'!J182/6.79</f>
        <v>55.375552282768801</v>
      </c>
      <c r="K182" s="22">
        <f t="shared" si="5"/>
        <v>166.126656848306</v>
      </c>
      <c r="L182" s="21">
        <v>870870</v>
      </c>
      <c r="M182" s="49" t="s">
        <v>813</v>
      </c>
      <c r="N182" s="39"/>
    </row>
    <row r="183" spans="1:14" s="33" customFormat="1" ht="32.1" customHeight="1">
      <c r="A183" s="15">
        <v>172</v>
      </c>
      <c r="B183" s="16" t="s">
        <v>28</v>
      </c>
      <c r="C183" s="17" t="s">
        <v>814</v>
      </c>
      <c r="D183" s="24" t="s">
        <v>30</v>
      </c>
      <c r="E183" s="16" t="s">
        <v>815</v>
      </c>
      <c r="F183" s="18" t="s">
        <v>816</v>
      </c>
      <c r="G183" s="16" t="s">
        <v>817</v>
      </c>
      <c r="H183" s="20">
        <v>5</v>
      </c>
      <c r="I183" s="21" t="s">
        <v>40</v>
      </c>
      <c r="J183" s="22">
        <f>'INVOICE FOR CNY'!J183/6.79</f>
        <v>11.0456553755523</v>
      </c>
      <c r="K183" s="22">
        <f t="shared" si="5"/>
        <v>55.228276877761402</v>
      </c>
      <c r="L183" s="21">
        <v>848230</v>
      </c>
      <c r="M183" s="49" t="s">
        <v>818</v>
      </c>
      <c r="N183" s="39"/>
    </row>
    <row r="184" spans="1:14" s="33" customFormat="1" ht="32.1" customHeight="1">
      <c r="A184" s="15">
        <v>173</v>
      </c>
      <c r="B184" s="16" t="s">
        <v>28</v>
      </c>
      <c r="C184" s="17" t="s">
        <v>819</v>
      </c>
      <c r="D184" s="24" t="s">
        <v>30</v>
      </c>
      <c r="E184" s="16" t="s">
        <v>820</v>
      </c>
      <c r="F184" s="18" t="s">
        <v>821</v>
      </c>
      <c r="G184" s="16" t="s">
        <v>822</v>
      </c>
      <c r="H184" s="20">
        <v>5</v>
      </c>
      <c r="I184" s="21" t="s">
        <v>40</v>
      </c>
      <c r="J184" s="22">
        <f>'INVOICE FOR CNY'!J184/6.79</f>
        <v>1.47275405007364</v>
      </c>
      <c r="K184" s="22">
        <f t="shared" si="5"/>
        <v>7.3637702503681899</v>
      </c>
      <c r="L184" s="21">
        <v>401699</v>
      </c>
      <c r="M184" s="49" t="s">
        <v>823</v>
      </c>
      <c r="N184" s="39"/>
    </row>
    <row r="185" spans="1:14" s="33" customFormat="1" ht="32.1" customHeight="1">
      <c r="A185" s="15">
        <v>174</v>
      </c>
      <c r="B185" s="16" t="s">
        <v>28</v>
      </c>
      <c r="C185" s="17" t="s">
        <v>824</v>
      </c>
      <c r="D185" s="24" t="s">
        <v>30</v>
      </c>
      <c r="E185" s="16" t="s">
        <v>825</v>
      </c>
      <c r="F185" s="18" t="s">
        <v>826</v>
      </c>
      <c r="G185" s="16" t="s">
        <v>827</v>
      </c>
      <c r="H185" s="20">
        <v>2</v>
      </c>
      <c r="I185" s="21" t="s">
        <v>40</v>
      </c>
      <c r="J185" s="22">
        <f>'INVOICE FOR CNY'!J185/6.79</f>
        <v>16.20029455081</v>
      </c>
      <c r="K185" s="22">
        <f t="shared" si="5"/>
        <v>32.40058910162</v>
      </c>
      <c r="L185" s="21">
        <v>830220</v>
      </c>
      <c r="M185" s="49" t="s">
        <v>828</v>
      </c>
      <c r="N185" s="39"/>
    </row>
    <row r="186" spans="1:14" s="33" customFormat="1" ht="32.1" customHeight="1">
      <c r="A186" s="15">
        <v>175</v>
      </c>
      <c r="B186" s="16" t="s">
        <v>28</v>
      </c>
      <c r="C186" s="17" t="s">
        <v>829</v>
      </c>
      <c r="D186" s="24" t="s">
        <v>30</v>
      </c>
      <c r="E186" s="16" t="s">
        <v>830</v>
      </c>
      <c r="F186" s="18" t="s">
        <v>831</v>
      </c>
      <c r="G186" s="16" t="s">
        <v>832</v>
      </c>
      <c r="H186" s="20">
        <v>2</v>
      </c>
      <c r="I186" s="21" t="s">
        <v>40</v>
      </c>
      <c r="J186" s="22">
        <f>'INVOICE FOR CNY'!J186/6.79</f>
        <v>16.20029455081</v>
      </c>
      <c r="K186" s="22">
        <f t="shared" si="5"/>
        <v>32.40058910162</v>
      </c>
      <c r="L186" s="21">
        <v>830220</v>
      </c>
      <c r="M186" s="49" t="s">
        <v>833</v>
      </c>
      <c r="N186" s="39"/>
    </row>
    <row r="187" spans="1:14" s="33" customFormat="1" ht="32.1" customHeight="1">
      <c r="A187" s="15">
        <v>176</v>
      </c>
      <c r="B187" s="16" t="s">
        <v>28</v>
      </c>
      <c r="C187" s="17" t="s">
        <v>819</v>
      </c>
      <c r="D187" s="24" t="s">
        <v>30</v>
      </c>
      <c r="E187" s="16" t="s">
        <v>834</v>
      </c>
      <c r="F187" s="18" t="s">
        <v>835</v>
      </c>
      <c r="G187" s="16" t="s">
        <v>836</v>
      </c>
      <c r="H187" s="20">
        <v>5</v>
      </c>
      <c r="I187" s="21" t="s">
        <v>40</v>
      </c>
      <c r="J187" s="22">
        <f>'INVOICE FOR CNY'!J187/6.79</f>
        <v>2.2091310751104598</v>
      </c>
      <c r="K187" s="22">
        <f t="shared" si="5"/>
        <v>11.0456553755523</v>
      </c>
      <c r="L187" s="21">
        <v>401699</v>
      </c>
      <c r="M187" s="49" t="s">
        <v>837</v>
      </c>
      <c r="N187" s="39"/>
    </row>
    <row r="188" spans="1:14" s="33" customFormat="1" ht="32.1" customHeight="1">
      <c r="A188" s="15">
        <v>177</v>
      </c>
      <c r="B188" s="16" t="s">
        <v>28</v>
      </c>
      <c r="C188" s="17" t="s">
        <v>838</v>
      </c>
      <c r="D188" s="24" t="s">
        <v>30</v>
      </c>
      <c r="E188" s="16" t="s">
        <v>839</v>
      </c>
      <c r="F188" s="18" t="s">
        <v>840</v>
      </c>
      <c r="G188" s="16" t="s">
        <v>841</v>
      </c>
      <c r="H188" s="20">
        <v>2</v>
      </c>
      <c r="I188" s="21" t="s">
        <v>40</v>
      </c>
      <c r="J188" s="22">
        <f>'INVOICE FOR CNY'!J188/6.79</f>
        <v>53.019145802651003</v>
      </c>
      <c r="K188" s="22">
        <f t="shared" si="5"/>
        <v>106.03829160530201</v>
      </c>
      <c r="L188" s="21">
        <v>853720</v>
      </c>
      <c r="M188" s="49" t="s">
        <v>842</v>
      </c>
      <c r="N188" s="39"/>
    </row>
    <row r="189" spans="1:14" s="33" customFormat="1" ht="32.1" customHeight="1">
      <c r="A189" s="15">
        <v>178</v>
      </c>
      <c r="B189" s="16" t="s">
        <v>28</v>
      </c>
      <c r="C189" s="17" t="s">
        <v>843</v>
      </c>
      <c r="D189" s="24" t="s">
        <v>30</v>
      </c>
      <c r="E189" s="16" t="s">
        <v>844</v>
      </c>
      <c r="F189" s="18" t="s">
        <v>845</v>
      </c>
      <c r="G189" s="16" t="s">
        <v>846</v>
      </c>
      <c r="H189" s="20">
        <v>2</v>
      </c>
      <c r="I189" s="21" t="s">
        <v>40</v>
      </c>
      <c r="J189" s="22">
        <f>'INVOICE FOR CNY'!J189/6.79</f>
        <v>2.7982326951399101</v>
      </c>
      <c r="K189" s="22">
        <f t="shared" si="5"/>
        <v>5.5964653902798203</v>
      </c>
      <c r="L189" s="21">
        <v>870821</v>
      </c>
      <c r="M189" s="49" t="s">
        <v>847</v>
      </c>
      <c r="N189" s="39"/>
    </row>
    <row r="190" spans="1:14" s="33" customFormat="1" ht="32.1" customHeight="1">
      <c r="A190" s="15">
        <v>179</v>
      </c>
      <c r="B190" s="16" t="s">
        <v>848</v>
      </c>
      <c r="C190" s="17" t="s">
        <v>849</v>
      </c>
      <c r="D190" s="24" t="s">
        <v>30</v>
      </c>
      <c r="E190" s="16" t="s">
        <v>850</v>
      </c>
      <c r="F190" s="18" t="s">
        <v>851</v>
      </c>
      <c r="G190" s="16" t="s">
        <v>852</v>
      </c>
      <c r="H190" s="20">
        <v>2</v>
      </c>
      <c r="I190" s="21" t="s">
        <v>40</v>
      </c>
      <c r="J190" s="22">
        <f>'INVOICE FOR CNY'!J190/6.79</f>
        <v>95.858615611192903</v>
      </c>
      <c r="K190" s="22">
        <f t="shared" si="5"/>
        <v>191.717231222386</v>
      </c>
      <c r="L190" s="21">
        <v>851150</v>
      </c>
      <c r="M190" s="49" t="s">
        <v>853</v>
      </c>
      <c r="N190" s="39"/>
    </row>
    <row r="191" spans="1:14" ht="26.1" customHeight="1">
      <c r="A191" s="15"/>
      <c r="B191" s="61"/>
      <c r="C191" s="64"/>
      <c r="D191" s="57"/>
      <c r="E191" s="61"/>
      <c r="F191" s="59" t="s">
        <v>854</v>
      </c>
      <c r="G191" s="60"/>
      <c r="H191" s="65">
        <f>SUM(H12:H190)</f>
        <v>819</v>
      </c>
      <c r="I191" s="61"/>
      <c r="J191" s="66"/>
      <c r="K191" s="66">
        <f>SUM(K12:K190)</f>
        <v>12659.316642120801</v>
      </c>
      <c r="L191" s="49"/>
      <c r="M191" s="67"/>
    </row>
    <row r="192" spans="1:14" ht="26.1" customHeight="1">
      <c r="A192" s="83" t="s">
        <v>855</v>
      </c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5"/>
    </row>
  </sheetData>
  <mergeCells count="15">
    <mergeCell ref="C9:G9"/>
    <mergeCell ref="A11:M11"/>
    <mergeCell ref="A192:M192"/>
    <mergeCell ref="K1:M6"/>
    <mergeCell ref="H7:J8"/>
    <mergeCell ref="A6:J6"/>
    <mergeCell ref="A7:G7"/>
    <mergeCell ref="K7:M7"/>
    <mergeCell ref="A8:G8"/>
    <mergeCell ref="K8:M8"/>
    <mergeCell ref="A1:J1"/>
    <mergeCell ref="A2:J2"/>
    <mergeCell ref="A3:J3"/>
    <mergeCell ref="A4:J4"/>
    <mergeCell ref="A5:J5"/>
  </mergeCells>
  <pageMargins left="0.196527777777778" right="0" top="0.196527777777778" bottom="0.27500000000000002" header="0.5" footer="0.23611111111111099"/>
  <pageSetup paperSize="9" scale="75" orientation="landscape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XFC192"/>
  <sheetViews>
    <sheetView tabSelected="1" topLeftCell="D22" zoomScale="115" zoomScaleNormal="115" workbookViewId="0">
      <selection activeCell="L29" sqref="L29"/>
    </sheetView>
  </sheetViews>
  <sheetFormatPr defaultColWidth="8.75" defaultRowHeight="15.95" customHeight="1"/>
  <cols>
    <col min="1" max="1" width="3.5" style="32" customWidth="1"/>
    <col min="2" max="2" width="12.875" style="34" customWidth="1"/>
    <col min="3" max="3" width="29.75" style="35" customWidth="1"/>
    <col min="4" max="4" width="8.125" style="36" customWidth="1"/>
    <col min="5" max="5" width="37.125" style="34" customWidth="1"/>
    <col min="6" max="6" width="25.25" style="34" customWidth="1"/>
    <col min="7" max="7" width="14.5" style="35" customWidth="1"/>
    <col min="8" max="9" width="5.25" style="37" customWidth="1"/>
    <col min="10" max="10" width="7.75" style="37" customWidth="1"/>
    <col min="11" max="11" width="12.75" style="38" customWidth="1"/>
    <col min="12" max="12" width="6.875" style="39" customWidth="1"/>
    <col min="13" max="13" width="7.625" style="37" customWidth="1"/>
    <col min="14" max="92" width="8.75" style="32" customWidth="1"/>
    <col min="93" max="124" width="9" style="32" customWidth="1"/>
    <col min="125" max="208" width="8.75" style="32"/>
    <col min="209" max="214" width="9" style="32" customWidth="1"/>
    <col min="215" max="228" width="8.75" style="32"/>
    <col min="229" max="229" width="4.25" style="32" customWidth="1"/>
    <col min="230" max="230" width="10.625" style="32" customWidth="1"/>
    <col min="231" max="233" width="8.75" style="32" hidden="1" customWidth="1"/>
    <col min="234" max="234" width="23.125" style="32" customWidth="1"/>
    <col min="235" max="235" width="20.125" style="32" customWidth="1"/>
    <col min="236" max="237" width="4.75" style="32" customWidth="1"/>
    <col min="238" max="238" width="6.125" style="32" customWidth="1"/>
    <col min="239" max="239" width="10.25" style="32" customWidth="1"/>
    <col min="240" max="240" width="7.125" style="32" customWidth="1"/>
    <col min="241" max="241" width="7.375" style="32" customWidth="1"/>
    <col min="242" max="348" width="8.75" style="32"/>
    <col min="349" max="380" width="9" style="32" customWidth="1"/>
    <col min="381" max="464" width="8.75" style="32"/>
    <col min="465" max="470" width="9" style="32" customWidth="1"/>
    <col min="471" max="484" width="8.75" style="32"/>
    <col min="485" max="485" width="4.25" style="32" customWidth="1"/>
    <col min="486" max="486" width="10.625" style="32" customWidth="1"/>
    <col min="487" max="489" width="8.75" style="32" hidden="1" customWidth="1"/>
    <col min="490" max="490" width="23.125" style="32" customWidth="1"/>
    <col min="491" max="491" width="20.125" style="32" customWidth="1"/>
    <col min="492" max="493" width="4.75" style="32" customWidth="1"/>
    <col min="494" max="494" width="6.125" style="32" customWidth="1"/>
    <col min="495" max="495" width="10.25" style="32" customWidth="1"/>
    <col min="496" max="496" width="7.125" style="32" customWidth="1"/>
    <col min="497" max="497" width="7.375" style="32" customWidth="1"/>
    <col min="498" max="604" width="8.75" style="32"/>
    <col min="605" max="636" width="9" style="32" customWidth="1"/>
    <col min="637" max="720" width="8.75" style="32"/>
    <col min="721" max="726" width="9" style="32" customWidth="1"/>
    <col min="727" max="740" width="8.75" style="32"/>
    <col min="741" max="741" width="4.25" style="32" customWidth="1"/>
    <col min="742" max="742" width="10.625" style="32" customWidth="1"/>
    <col min="743" max="745" width="8.75" style="32" hidden="1" customWidth="1"/>
    <col min="746" max="746" width="23.125" style="32" customWidth="1"/>
    <col min="747" max="747" width="20.125" style="32" customWidth="1"/>
    <col min="748" max="749" width="4.75" style="32" customWidth="1"/>
    <col min="750" max="750" width="6.125" style="32" customWidth="1"/>
    <col min="751" max="751" width="10.25" style="32" customWidth="1"/>
    <col min="752" max="752" width="7.125" style="32" customWidth="1"/>
    <col min="753" max="753" width="7.375" style="32" customWidth="1"/>
    <col min="754" max="860" width="8.75" style="32"/>
    <col min="861" max="892" width="9" style="32" customWidth="1"/>
    <col min="893" max="976" width="8.75" style="32"/>
    <col min="977" max="982" width="9" style="32" customWidth="1"/>
    <col min="983" max="996" width="8.75" style="32"/>
    <col min="997" max="997" width="4.25" style="32" customWidth="1"/>
    <col min="998" max="998" width="10.625" style="32" customWidth="1"/>
    <col min="999" max="1001" width="8.75" style="32" hidden="1" customWidth="1"/>
    <col min="1002" max="1002" width="23.125" style="32" customWidth="1"/>
    <col min="1003" max="1003" width="20.125" style="32" customWidth="1"/>
    <col min="1004" max="1005" width="4.75" style="32" customWidth="1"/>
    <col min="1006" max="1006" width="6.125" style="32" customWidth="1"/>
    <col min="1007" max="1007" width="10.25" style="32" customWidth="1"/>
    <col min="1008" max="1008" width="7.125" style="32" customWidth="1"/>
    <col min="1009" max="1009" width="7.375" style="32" customWidth="1"/>
    <col min="1010" max="1116" width="8.75" style="32"/>
    <col min="1117" max="1148" width="9" style="32" customWidth="1"/>
    <col min="1149" max="1232" width="8.75" style="32"/>
    <col min="1233" max="1238" width="9" style="32" customWidth="1"/>
    <col min="1239" max="1252" width="8.75" style="32"/>
    <col min="1253" max="1253" width="4.25" style="32" customWidth="1"/>
    <col min="1254" max="1254" width="10.625" style="32" customWidth="1"/>
    <col min="1255" max="1257" width="8.75" style="32" hidden="1" customWidth="1"/>
    <col min="1258" max="1258" width="23.125" style="32" customWidth="1"/>
    <col min="1259" max="1259" width="20.125" style="32" customWidth="1"/>
    <col min="1260" max="1261" width="4.75" style="32" customWidth="1"/>
    <col min="1262" max="1262" width="6.125" style="32" customWidth="1"/>
    <col min="1263" max="1263" width="10.25" style="32" customWidth="1"/>
    <col min="1264" max="1264" width="7.125" style="32" customWidth="1"/>
    <col min="1265" max="1265" width="7.375" style="32" customWidth="1"/>
    <col min="1266" max="1372" width="8.75" style="32"/>
    <col min="1373" max="1404" width="9" style="32" customWidth="1"/>
    <col min="1405" max="1488" width="8.75" style="32"/>
    <col min="1489" max="1494" width="9" style="32" customWidth="1"/>
    <col min="1495" max="1508" width="8.75" style="32"/>
    <col min="1509" max="1509" width="4.25" style="32" customWidth="1"/>
    <col min="1510" max="1510" width="10.625" style="32" customWidth="1"/>
    <col min="1511" max="1513" width="8.75" style="32" hidden="1" customWidth="1"/>
    <col min="1514" max="1514" width="23.125" style="32" customWidth="1"/>
    <col min="1515" max="1515" width="20.125" style="32" customWidth="1"/>
    <col min="1516" max="1517" width="4.75" style="32" customWidth="1"/>
    <col min="1518" max="1518" width="6.125" style="32" customWidth="1"/>
    <col min="1519" max="1519" width="10.25" style="32" customWidth="1"/>
    <col min="1520" max="1520" width="7.125" style="32" customWidth="1"/>
    <col min="1521" max="1521" width="7.375" style="32" customWidth="1"/>
    <col min="1522" max="1628" width="8.75" style="32"/>
    <col min="1629" max="1660" width="9" style="32" customWidth="1"/>
    <col min="1661" max="1744" width="8.75" style="32"/>
    <col min="1745" max="1750" width="9" style="32" customWidth="1"/>
    <col min="1751" max="1764" width="8.75" style="32"/>
    <col min="1765" max="1765" width="4.25" style="32" customWidth="1"/>
    <col min="1766" max="1766" width="10.625" style="32" customWidth="1"/>
    <col min="1767" max="1769" width="8.75" style="32" hidden="1" customWidth="1"/>
    <col min="1770" max="1770" width="23.125" style="32" customWidth="1"/>
    <col min="1771" max="1771" width="20.125" style="32" customWidth="1"/>
    <col min="1772" max="1773" width="4.75" style="32" customWidth="1"/>
    <col min="1774" max="1774" width="6.125" style="32" customWidth="1"/>
    <col min="1775" max="1775" width="10.25" style="32" customWidth="1"/>
    <col min="1776" max="1776" width="7.125" style="32" customWidth="1"/>
    <col min="1777" max="1777" width="7.375" style="32" customWidth="1"/>
    <col min="1778" max="1884" width="8.75" style="32"/>
    <col min="1885" max="1916" width="9" style="32" customWidth="1"/>
    <col min="1917" max="2000" width="8.75" style="32"/>
    <col min="2001" max="2006" width="9" style="32" customWidth="1"/>
    <col min="2007" max="2020" width="8.75" style="32"/>
    <col min="2021" max="2021" width="4.25" style="32" customWidth="1"/>
    <col min="2022" max="2022" width="10.625" style="32" customWidth="1"/>
    <col min="2023" max="2025" width="8.75" style="32" hidden="1" customWidth="1"/>
    <col min="2026" max="2026" width="23.125" style="32" customWidth="1"/>
    <col min="2027" max="2027" width="20.125" style="32" customWidth="1"/>
    <col min="2028" max="2029" width="4.75" style="32" customWidth="1"/>
    <col min="2030" max="2030" width="6.125" style="32" customWidth="1"/>
    <col min="2031" max="2031" width="10.25" style="32" customWidth="1"/>
    <col min="2032" max="2032" width="7.125" style="32" customWidth="1"/>
    <col min="2033" max="2033" width="7.375" style="32" customWidth="1"/>
    <col min="2034" max="2140" width="8.75" style="32"/>
    <col min="2141" max="2172" width="9" style="32" customWidth="1"/>
    <col min="2173" max="2256" width="8.75" style="32"/>
    <col min="2257" max="2262" width="9" style="32" customWidth="1"/>
    <col min="2263" max="2276" width="8.75" style="32"/>
    <col min="2277" max="2277" width="4.25" style="32" customWidth="1"/>
    <col min="2278" max="2278" width="10.625" style="32" customWidth="1"/>
    <col min="2279" max="2281" width="8.75" style="32" hidden="1" customWidth="1"/>
    <col min="2282" max="2282" width="23.125" style="32" customWidth="1"/>
    <col min="2283" max="2283" width="20.125" style="32" customWidth="1"/>
    <col min="2284" max="2285" width="4.75" style="32" customWidth="1"/>
    <col min="2286" max="2286" width="6.125" style="32" customWidth="1"/>
    <col min="2287" max="2287" width="10.25" style="32" customWidth="1"/>
    <col min="2288" max="2288" width="7.125" style="32" customWidth="1"/>
    <col min="2289" max="2289" width="7.375" style="32" customWidth="1"/>
    <col min="2290" max="2396" width="8.75" style="32"/>
    <col min="2397" max="2428" width="9" style="32" customWidth="1"/>
    <col min="2429" max="2512" width="8.75" style="32"/>
    <col min="2513" max="2518" width="9" style="32" customWidth="1"/>
    <col min="2519" max="2532" width="8.75" style="32"/>
    <col min="2533" max="2533" width="4.25" style="32" customWidth="1"/>
    <col min="2534" max="2534" width="10.625" style="32" customWidth="1"/>
    <col min="2535" max="2537" width="8.75" style="32" hidden="1" customWidth="1"/>
    <col min="2538" max="2538" width="23.125" style="32" customWidth="1"/>
    <col min="2539" max="2539" width="20.125" style="32" customWidth="1"/>
    <col min="2540" max="2541" width="4.75" style="32" customWidth="1"/>
    <col min="2542" max="2542" width="6.125" style="32" customWidth="1"/>
    <col min="2543" max="2543" width="10.25" style="32" customWidth="1"/>
    <col min="2544" max="2544" width="7.125" style="32" customWidth="1"/>
    <col min="2545" max="2545" width="7.375" style="32" customWidth="1"/>
    <col min="2546" max="2652" width="8.75" style="32"/>
    <col min="2653" max="2684" width="9" style="32" customWidth="1"/>
    <col min="2685" max="2768" width="8.75" style="32"/>
    <col min="2769" max="2774" width="9" style="32" customWidth="1"/>
    <col min="2775" max="2788" width="8.75" style="32"/>
    <col min="2789" max="2789" width="4.25" style="32" customWidth="1"/>
    <col min="2790" max="2790" width="10.625" style="32" customWidth="1"/>
    <col min="2791" max="2793" width="8.75" style="32" hidden="1" customWidth="1"/>
    <col min="2794" max="2794" width="23.125" style="32" customWidth="1"/>
    <col min="2795" max="2795" width="20.125" style="32" customWidth="1"/>
    <col min="2796" max="2797" width="4.75" style="32" customWidth="1"/>
    <col min="2798" max="2798" width="6.125" style="32" customWidth="1"/>
    <col min="2799" max="2799" width="10.25" style="32" customWidth="1"/>
    <col min="2800" max="2800" width="7.125" style="32" customWidth="1"/>
    <col min="2801" max="2801" width="7.375" style="32" customWidth="1"/>
    <col min="2802" max="2908" width="8.75" style="32"/>
    <col min="2909" max="2940" width="9" style="32" customWidth="1"/>
    <col min="2941" max="3024" width="8.75" style="32"/>
    <col min="3025" max="3030" width="9" style="32" customWidth="1"/>
    <col min="3031" max="3044" width="8.75" style="32"/>
    <col min="3045" max="3045" width="4.25" style="32" customWidth="1"/>
    <col min="3046" max="3046" width="10.625" style="32" customWidth="1"/>
    <col min="3047" max="3049" width="8.75" style="32" hidden="1" customWidth="1"/>
    <col min="3050" max="3050" width="23.125" style="32" customWidth="1"/>
    <col min="3051" max="3051" width="20.125" style="32" customWidth="1"/>
    <col min="3052" max="3053" width="4.75" style="32" customWidth="1"/>
    <col min="3054" max="3054" width="6.125" style="32" customWidth="1"/>
    <col min="3055" max="3055" width="10.25" style="32" customWidth="1"/>
    <col min="3056" max="3056" width="7.125" style="32" customWidth="1"/>
    <col min="3057" max="3057" width="7.375" style="32" customWidth="1"/>
    <col min="3058" max="3164" width="8.75" style="32"/>
    <col min="3165" max="3196" width="9" style="32" customWidth="1"/>
    <col min="3197" max="3280" width="8.75" style="32"/>
    <col min="3281" max="3286" width="9" style="32" customWidth="1"/>
    <col min="3287" max="3300" width="8.75" style="32"/>
    <col min="3301" max="3301" width="4.25" style="32" customWidth="1"/>
    <col min="3302" max="3302" width="10.625" style="32" customWidth="1"/>
    <col min="3303" max="3305" width="8.75" style="32" hidden="1" customWidth="1"/>
    <col min="3306" max="3306" width="23.125" style="32" customWidth="1"/>
    <col min="3307" max="3307" width="20.125" style="32" customWidth="1"/>
    <col min="3308" max="3309" width="4.75" style="32" customWidth="1"/>
    <col min="3310" max="3310" width="6.125" style="32" customWidth="1"/>
    <col min="3311" max="3311" width="10.25" style="32" customWidth="1"/>
    <col min="3312" max="3312" width="7.125" style="32" customWidth="1"/>
    <col min="3313" max="3313" width="7.375" style="32" customWidth="1"/>
    <col min="3314" max="3420" width="8.75" style="32"/>
    <col min="3421" max="3452" width="9" style="32" customWidth="1"/>
    <col min="3453" max="3536" width="8.75" style="32"/>
    <col min="3537" max="3542" width="9" style="32" customWidth="1"/>
    <col min="3543" max="3556" width="8.75" style="32"/>
    <col min="3557" max="3557" width="4.25" style="32" customWidth="1"/>
    <col min="3558" max="3558" width="10.625" style="32" customWidth="1"/>
    <col min="3559" max="3561" width="8.75" style="32" hidden="1" customWidth="1"/>
    <col min="3562" max="3562" width="23.125" style="32" customWidth="1"/>
    <col min="3563" max="3563" width="20.125" style="32" customWidth="1"/>
    <col min="3564" max="3565" width="4.75" style="32" customWidth="1"/>
    <col min="3566" max="3566" width="6.125" style="32" customWidth="1"/>
    <col min="3567" max="3567" width="10.25" style="32" customWidth="1"/>
    <col min="3568" max="3568" width="7.125" style="32" customWidth="1"/>
    <col min="3569" max="3569" width="7.375" style="32" customWidth="1"/>
    <col min="3570" max="3676" width="8.75" style="32"/>
    <col min="3677" max="3708" width="9" style="32" customWidth="1"/>
    <col min="3709" max="3792" width="8.75" style="32"/>
    <col min="3793" max="3798" width="9" style="32" customWidth="1"/>
    <col min="3799" max="3812" width="8.75" style="32"/>
    <col min="3813" max="3813" width="4.25" style="32" customWidth="1"/>
    <col min="3814" max="3814" width="10.625" style="32" customWidth="1"/>
    <col min="3815" max="3817" width="8.75" style="32" hidden="1" customWidth="1"/>
    <col min="3818" max="3818" width="23.125" style="32" customWidth="1"/>
    <col min="3819" max="3819" width="20.125" style="32" customWidth="1"/>
    <col min="3820" max="3821" width="4.75" style="32" customWidth="1"/>
    <col min="3822" max="3822" width="6.125" style="32" customWidth="1"/>
    <col min="3823" max="3823" width="10.25" style="32" customWidth="1"/>
    <col min="3824" max="3824" width="7.125" style="32" customWidth="1"/>
    <col min="3825" max="3825" width="7.375" style="32" customWidth="1"/>
    <col min="3826" max="3932" width="8.75" style="32"/>
    <col min="3933" max="3964" width="9" style="32" customWidth="1"/>
    <col min="3965" max="4048" width="8.75" style="32"/>
    <col min="4049" max="4054" width="9" style="32" customWidth="1"/>
    <col min="4055" max="4068" width="8.75" style="32"/>
    <col min="4069" max="4069" width="4.25" style="32" customWidth="1"/>
    <col min="4070" max="4070" width="10.625" style="32" customWidth="1"/>
    <col min="4071" max="4073" width="8.75" style="32" hidden="1" customWidth="1"/>
    <col min="4074" max="4074" width="23.125" style="32" customWidth="1"/>
    <col min="4075" max="4075" width="20.125" style="32" customWidth="1"/>
    <col min="4076" max="4077" width="4.75" style="32" customWidth="1"/>
    <col min="4078" max="4078" width="6.125" style="32" customWidth="1"/>
    <col min="4079" max="4079" width="10.25" style="32" customWidth="1"/>
    <col min="4080" max="4080" width="7.125" style="32" customWidth="1"/>
    <col min="4081" max="4081" width="7.375" style="32" customWidth="1"/>
    <col min="4082" max="4188" width="8.75" style="32"/>
    <col min="4189" max="4220" width="9" style="32" customWidth="1"/>
    <col min="4221" max="4304" width="8.75" style="32"/>
    <col min="4305" max="4310" width="9" style="32" customWidth="1"/>
    <col min="4311" max="4324" width="8.75" style="32"/>
    <col min="4325" max="4325" width="4.25" style="32" customWidth="1"/>
    <col min="4326" max="4326" width="10.625" style="32" customWidth="1"/>
    <col min="4327" max="4329" width="8.75" style="32" hidden="1" customWidth="1"/>
    <col min="4330" max="4330" width="23.125" style="32" customWidth="1"/>
    <col min="4331" max="4331" width="20.125" style="32" customWidth="1"/>
    <col min="4332" max="4333" width="4.75" style="32" customWidth="1"/>
    <col min="4334" max="4334" width="6.125" style="32" customWidth="1"/>
    <col min="4335" max="4335" width="10.25" style="32" customWidth="1"/>
    <col min="4336" max="4336" width="7.125" style="32" customWidth="1"/>
    <col min="4337" max="4337" width="7.375" style="32" customWidth="1"/>
    <col min="4338" max="4444" width="8.75" style="32"/>
    <col min="4445" max="4476" width="9" style="32" customWidth="1"/>
    <col min="4477" max="4560" width="8.75" style="32"/>
    <col min="4561" max="4566" width="9" style="32" customWidth="1"/>
    <col min="4567" max="4580" width="8.75" style="32"/>
    <col min="4581" max="4581" width="4.25" style="32" customWidth="1"/>
    <col min="4582" max="4582" width="10.625" style="32" customWidth="1"/>
    <col min="4583" max="4585" width="8.75" style="32" hidden="1" customWidth="1"/>
    <col min="4586" max="4586" width="23.125" style="32" customWidth="1"/>
    <col min="4587" max="4587" width="20.125" style="32" customWidth="1"/>
    <col min="4588" max="4589" width="4.75" style="32" customWidth="1"/>
    <col min="4590" max="4590" width="6.125" style="32" customWidth="1"/>
    <col min="4591" max="4591" width="10.25" style="32" customWidth="1"/>
    <col min="4592" max="4592" width="7.125" style="32" customWidth="1"/>
    <col min="4593" max="4593" width="7.375" style="32" customWidth="1"/>
    <col min="4594" max="4700" width="8.75" style="32"/>
    <col min="4701" max="4732" width="9" style="32" customWidth="1"/>
    <col min="4733" max="4816" width="8.75" style="32"/>
    <col min="4817" max="4822" width="9" style="32" customWidth="1"/>
    <col min="4823" max="4836" width="8.75" style="32"/>
    <col min="4837" max="4837" width="4.25" style="32" customWidth="1"/>
    <col min="4838" max="4838" width="10.625" style="32" customWidth="1"/>
    <col min="4839" max="4841" width="8.75" style="32" hidden="1" customWidth="1"/>
    <col min="4842" max="4842" width="23.125" style="32" customWidth="1"/>
    <col min="4843" max="4843" width="20.125" style="32" customWidth="1"/>
    <col min="4844" max="4845" width="4.75" style="32" customWidth="1"/>
    <col min="4846" max="4846" width="6.125" style="32" customWidth="1"/>
    <col min="4847" max="4847" width="10.25" style="32" customWidth="1"/>
    <col min="4848" max="4848" width="7.125" style="32" customWidth="1"/>
    <col min="4849" max="4849" width="7.375" style="32" customWidth="1"/>
    <col min="4850" max="4956" width="8.75" style="32"/>
    <col min="4957" max="4988" width="9" style="32" customWidth="1"/>
    <col min="4989" max="5072" width="8.75" style="32"/>
    <col min="5073" max="5078" width="9" style="32" customWidth="1"/>
    <col min="5079" max="5092" width="8.75" style="32"/>
    <col min="5093" max="5093" width="4.25" style="32" customWidth="1"/>
    <col min="5094" max="5094" width="10.625" style="32" customWidth="1"/>
    <col min="5095" max="5097" width="8.75" style="32" hidden="1" customWidth="1"/>
    <col min="5098" max="5098" width="23.125" style="32" customWidth="1"/>
    <col min="5099" max="5099" width="20.125" style="32" customWidth="1"/>
    <col min="5100" max="5101" width="4.75" style="32" customWidth="1"/>
    <col min="5102" max="5102" width="6.125" style="32" customWidth="1"/>
    <col min="5103" max="5103" width="10.25" style="32" customWidth="1"/>
    <col min="5104" max="5104" width="7.125" style="32" customWidth="1"/>
    <col min="5105" max="5105" width="7.375" style="32" customWidth="1"/>
    <col min="5106" max="5212" width="8.75" style="32"/>
    <col min="5213" max="5244" width="9" style="32" customWidth="1"/>
    <col min="5245" max="5328" width="8.75" style="32"/>
    <col min="5329" max="5334" width="9" style="32" customWidth="1"/>
    <col min="5335" max="5348" width="8.75" style="32"/>
    <col min="5349" max="5349" width="4.25" style="32" customWidth="1"/>
    <col min="5350" max="5350" width="10.625" style="32" customWidth="1"/>
    <col min="5351" max="5353" width="8.75" style="32" hidden="1" customWidth="1"/>
    <col min="5354" max="5354" width="23.125" style="32" customWidth="1"/>
    <col min="5355" max="5355" width="20.125" style="32" customWidth="1"/>
    <col min="5356" max="5357" width="4.75" style="32" customWidth="1"/>
    <col min="5358" max="5358" width="6.125" style="32" customWidth="1"/>
    <col min="5359" max="5359" width="10.25" style="32" customWidth="1"/>
    <col min="5360" max="5360" width="7.125" style="32" customWidth="1"/>
    <col min="5361" max="5361" width="7.375" style="32" customWidth="1"/>
    <col min="5362" max="5468" width="8.75" style="32"/>
    <col min="5469" max="5500" width="9" style="32" customWidth="1"/>
    <col min="5501" max="5584" width="8.75" style="32"/>
    <col min="5585" max="5590" width="9" style="32" customWidth="1"/>
    <col min="5591" max="5604" width="8.75" style="32"/>
    <col min="5605" max="5605" width="4.25" style="32" customWidth="1"/>
    <col min="5606" max="5606" width="10.625" style="32" customWidth="1"/>
    <col min="5607" max="5609" width="8.75" style="32" hidden="1" customWidth="1"/>
    <col min="5610" max="5610" width="23.125" style="32" customWidth="1"/>
    <col min="5611" max="5611" width="20.125" style="32" customWidth="1"/>
    <col min="5612" max="5613" width="4.75" style="32" customWidth="1"/>
    <col min="5614" max="5614" width="6.125" style="32" customWidth="1"/>
    <col min="5615" max="5615" width="10.25" style="32" customWidth="1"/>
    <col min="5616" max="5616" width="7.125" style="32" customWidth="1"/>
    <col min="5617" max="5617" width="7.375" style="32" customWidth="1"/>
    <col min="5618" max="5724" width="8.75" style="32"/>
    <col min="5725" max="5756" width="9" style="32" customWidth="1"/>
    <col min="5757" max="5840" width="8.75" style="32"/>
    <col min="5841" max="5846" width="9" style="32" customWidth="1"/>
    <col min="5847" max="5860" width="8.75" style="32"/>
    <col min="5861" max="5861" width="4.25" style="32" customWidth="1"/>
    <col min="5862" max="5862" width="10.625" style="32" customWidth="1"/>
    <col min="5863" max="5865" width="8.75" style="32" hidden="1" customWidth="1"/>
    <col min="5866" max="5866" width="23.125" style="32" customWidth="1"/>
    <col min="5867" max="5867" width="20.125" style="32" customWidth="1"/>
    <col min="5868" max="5869" width="4.75" style="32" customWidth="1"/>
    <col min="5870" max="5870" width="6.125" style="32" customWidth="1"/>
    <col min="5871" max="5871" width="10.25" style="32" customWidth="1"/>
    <col min="5872" max="5872" width="7.125" style="32" customWidth="1"/>
    <col min="5873" max="5873" width="7.375" style="32" customWidth="1"/>
    <col min="5874" max="5980" width="8.75" style="32"/>
    <col min="5981" max="6012" width="9" style="32" customWidth="1"/>
    <col min="6013" max="6096" width="8.75" style="32"/>
    <col min="6097" max="6102" width="9" style="32" customWidth="1"/>
    <col min="6103" max="6116" width="8.75" style="32"/>
    <col min="6117" max="6117" width="4.25" style="32" customWidth="1"/>
    <col min="6118" max="6118" width="10.625" style="32" customWidth="1"/>
    <col min="6119" max="6121" width="8.75" style="32" hidden="1" customWidth="1"/>
    <col min="6122" max="6122" width="23.125" style="32" customWidth="1"/>
    <col min="6123" max="6123" width="20.125" style="32" customWidth="1"/>
    <col min="6124" max="6125" width="4.75" style="32" customWidth="1"/>
    <col min="6126" max="6126" width="6.125" style="32" customWidth="1"/>
    <col min="6127" max="6127" width="10.25" style="32" customWidth="1"/>
    <col min="6128" max="6128" width="7.125" style="32" customWidth="1"/>
    <col min="6129" max="6129" width="7.375" style="32" customWidth="1"/>
    <col min="6130" max="6236" width="8.75" style="32"/>
    <col min="6237" max="6268" width="9" style="32" customWidth="1"/>
    <col min="6269" max="6352" width="8.75" style="32"/>
    <col min="6353" max="6358" width="9" style="32" customWidth="1"/>
    <col min="6359" max="6372" width="8.75" style="32"/>
    <col min="6373" max="6373" width="4.25" style="32" customWidth="1"/>
    <col min="6374" max="6374" width="10.625" style="32" customWidth="1"/>
    <col min="6375" max="6377" width="8.75" style="32" hidden="1" customWidth="1"/>
    <col min="6378" max="6378" width="23.125" style="32" customWidth="1"/>
    <col min="6379" max="6379" width="20.125" style="32" customWidth="1"/>
    <col min="6380" max="6381" width="4.75" style="32" customWidth="1"/>
    <col min="6382" max="6382" width="6.125" style="32" customWidth="1"/>
    <col min="6383" max="6383" width="10.25" style="32" customWidth="1"/>
    <col min="6384" max="6384" width="7.125" style="32" customWidth="1"/>
    <col min="6385" max="6385" width="7.375" style="32" customWidth="1"/>
    <col min="6386" max="6492" width="8.75" style="32"/>
    <col min="6493" max="6524" width="9" style="32" customWidth="1"/>
    <col min="6525" max="6608" width="8.75" style="32"/>
    <col min="6609" max="6614" width="9" style="32" customWidth="1"/>
    <col min="6615" max="6628" width="8.75" style="32"/>
    <col min="6629" max="6629" width="4.25" style="32" customWidth="1"/>
    <col min="6630" max="6630" width="10.625" style="32" customWidth="1"/>
    <col min="6631" max="6633" width="8.75" style="32" hidden="1" customWidth="1"/>
    <col min="6634" max="6634" width="23.125" style="32" customWidth="1"/>
    <col min="6635" max="6635" width="20.125" style="32" customWidth="1"/>
    <col min="6636" max="6637" width="4.75" style="32" customWidth="1"/>
    <col min="6638" max="6638" width="6.125" style="32" customWidth="1"/>
    <col min="6639" max="6639" width="10.25" style="32" customWidth="1"/>
    <col min="6640" max="6640" width="7.125" style="32" customWidth="1"/>
    <col min="6641" max="6641" width="7.375" style="32" customWidth="1"/>
    <col min="6642" max="6748" width="8.75" style="32"/>
    <col min="6749" max="6780" width="9" style="32" customWidth="1"/>
    <col min="6781" max="6864" width="8.75" style="32"/>
    <col min="6865" max="6870" width="9" style="32" customWidth="1"/>
    <col min="6871" max="6884" width="8.75" style="32"/>
    <col min="6885" max="6885" width="4.25" style="32" customWidth="1"/>
    <col min="6886" max="6886" width="10.625" style="32" customWidth="1"/>
    <col min="6887" max="6889" width="8.75" style="32" hidden="1" customWidth="1"/>
    <col min="6890" max="6890" width="23.125" style="32" customWidth="1"/>
    <col min="6891" max="6891" width="20.125" style="32" customWidth="1"/>
    <col min="6892" max="6893" width="4.75" style="32" customWidth="1"/>
    <col min="6894" max="6894" width="6.125" style="32" customWidth="1"/>
    <col min="6895" max="6895" width="10.25" style="32" customWidth="1"/>
    <col min="6896" max="6896" width="7.125" style="32" customWidth="1"/>
    <col min="6897" max="6897" width="7.375" style="32" customWidth="1"/>
    <col min="6898" max="7004" width="8.75" style="32"/>
    <col min="7005" max="7036" width="9" style="32" customWidth="1"/>
    <col min="7037" max="7120" width="8.75" style="32"/>
    <col min="7121" max="7126" width="9" style="32" customWidth="1"/>
    <col min="7127" max="7140" width="8.75" style="32"/>
    <col min="7141" max="7141" width="4.25" style="32" customWidth="1"/>
    <col min="7142" max="7142" width="10.625" style="32" customWidth="1"/>
    <col min="7143" max="7145" width="8.75" style="32" hidden="1" customWidth="1"/>
    <col min="7146" max="7146" width="23.125" style="32" customWidth="1"/>
    <col min="7147" max="7147" width="20.125" style="32" customWidth="1"/>
    <col min="7148" max="7149" width="4.75" style="32" customWidth="1"/>
    <col min="7150" max="7150" width="6.125" style="32" customWidth="1"/>
    <col min="7151" max="7151" width="10.25" style="32" customWidth="1"/>
    <col min="7152" max="7152" width="7.125" style="32" customWidth="1"/>
    <col min="7153" max="7153" width="7.375" style="32" customWidth="1"/>
    <col min="7154" max="7260" width="8.75" style="32"/>
    <col min="7261" max="7292" width="9" style="32" customWidth="1"/>
    <col min="7293" max="7376" width="8.75" style="32"/>
    <col min="7377" max="7382" width="9" style="32" customWidth="1"/>
    <col min="7383" max="7396" width="8.75" style="32"/>
    <col min="7397" max="7397" width="4.25" style="32" customWidth="1"/>
    <col min="7398" max="7398" width="10.625" style="32" customWidth="1"/>
    <col min="7399" max="7401" width="8.75" style="32" hidden="1" customWidth="1"/>
    <col min="7402" max="7402" width="23.125" style="32" customWidth="1"/>
    <col min="7403" max="7403" width="20.125" style="32" customWidth="1"/>
    <col min="7404" max="7405" width="4.75" style="32" customWidth="1"/>
    <col min="7406" max="7406" width="6.125" style="32" customWidth="1"/>
    <col min="7407" max="7407" width="10.25" style="32" customWidth="1"/>
    <col min="7408" max="7408" width="7.125" style="32" customWidth="1"/>
    <col min="7409" max="7409" width="7.375" style="32" customWidth="1"/>
    <col min="7410" max="7516" width="8.75" style="32"/>
    <col min="7517" max="7548" width="9" style="32" customWidth="1"/>
    <col min="7549" max="7632" width="8.75" style="32"/>
    <col min="7633" max="7638" width="9" style="32" customWidth="1"/>
    <col min="7639" max="7652" width="8.75" style="32"/>
    <col min="7653" max="7653" width="4.25" style="32" customWidth="1"/>
    <col min="7654" max="7654" width="10.625" style="32" customWidth="1"/>
    <col min="7655" max="7657" width="8.75" style="32" hidden="1" customWidth="1"/>
    <col min="7658" max="7658" width="23.125" style="32" customWidth="1"/>
    <col min="7659" max="7659" width="20.125" style="32" customWidth="1"/>
    <col min="7660" max="7661" width="4.75" style="32" customWidth="1"/>
    <col min="7662" max="7662" width="6.125" style="32" customWidth="1"/>
    <col min="7663" max="7663" width="10.25" style="32" customWidth="1"/>
    <col min="7664" max="7664" width="7.125" style="32" customWidth="1"/>
    <col min="7665" max="7665" width="7.375" style="32" customWidth="1"/>
    <col min="7666" max="7772" width="8.75" style="32"/>
    <col min="7773" max="7804" width="9" style="32" customWidth="1"/>
    <col min="7805" max="7888" width="8.75" style="32"/>
    <col min="7889" max="7894" width="9" style="32" customWidth="1"/>
    <col min="7895" max="7908" width="8.75" style="32"/>
    <col min="7909" max="7909" width="4.25" style="32" customWidth="1"/>
    <col min="7910" max="7910" width="10.625" style="32" customWidth="1"/>
    <col min="7911" max="7913" width="8.75" style="32" hidden="1" customWidth="1"/>
    <col min="7914" max="7914" width="23.125" style="32" customWidth="1"/>
    <col min="7915" max="7915" width="20.125" style="32" customWidth="1"/>
    <col min="7916" max="7917" width="4.75" style="32" customWidth="1"/>
    <col min="7918" max="7918" width="6.125" style="32" customWidth="1"/>
    <col min="7919" max="7919" width="10.25" style="32" customWidth="1"/>
    <col min="7920" max="7920" width="7.125" style="32" customWidth="1"/>
    <col min="7921" max="7921" width="7.375" style="32" customWidth="1"/>
    <col min="7922" max="8028" width="8.75" style="32"/>
    <col min="8029" max="8060" width="9" style="32" customWidth="1"/>
    <col min="8061" max="8144" width="8.75" style="32"/>
    <col min="8145" max="8150" width="9" style="32" customWidth="1"/>
    <col min="8151" max="8164" width="8.75" style="32"/>
    <col min="8165" max="8165" width="4.25" style="32" customWidth="1"/>
    <col min="8166" max="8166" width="10.625" style="32" customWidth="1"/>
    <col min="8167" max="8169" width="8.75" style="32" hidden="1" customWidth="1"/>
    <col min="8170" max="8170" width="23.125" style="32" customWidth="1"/>
    <col min="8171" max="8171" width="20.125" style="32" customWidth="1"/>
    <col min="8172" max="8173" width="4.75" style="32" customWidth="1"/>
    <col min="8174" max="8174" width="6.125" style="32" customWidth="1"/>
    <col min="8175" max="8175" width="10.25" style="32" customWidth="1"/>
    <col min="8176" max="8176" width="7.125" style="32" customWidth="1"/>
    <col min="8177" max="8177" width="7.375" style="32" customWidth="1"/>
    <col min="8178" max="8284" width="8.75" style="32"/>
    <col min="8285" max="8316" width="9" style="32" customWidth="1"/>
    <col min="8317" max="8400" width="8.75" style="32"/>
    <col min="8401" max="8406" width="9" style="32" customWidth="1"/>
    <col min="8407" max="8420" width="8.75" style="32"/>
    <col min="8421" max="8421" width="4.25" style="32" customWidth="1"/>
    <col min="8422" max="8422" width="10.625" style="32" customWidth="1"/>
    <col min="8423" max="8425" width="8.75" style="32" hidden="1" customWidth="1"/>
    <col min="8426" max="8426" width="23.125" style="32" customWidth="1"/>
    <col min="8427" max="8427" width="20.125" style="32" customWidth="1"/>
    <col min="8428" max="8429" width="4.75" style="32" customWidth="1"/>
    <col min="8430" max="8430" width="6.125" style="32" customWidth="1"/>
    <col min="8431" max="8431" width="10.25" style="32" customWidth="1"/>
    <col min="8432" max="8432" width="7.125" style="32" customWidth="1"/>
    <col min="8433" max="8433" width="7.375" style="32" customWidth="1"/>
    <col min="8434" max="8540" width="8.75" style="32"/>
    <col min="8541" max="8572" width="9" style="32" customWidth="1"/>
    <col min="8573" max="8656" width="8.75" style="32"/>
    <col min="8657" max="8662" width="9" style="32" customWidth="1"/>
    <col min="8663" max="8676" width="8.75" style="32"/>
    <col min="8677" max="8677" width="4.25" style="32" customWidth="1"/>
    <col min="8678" max="8678" width="10.625" style="32" customWidth="1"/>
    <col min="8679" max="8681" width="8.75" style="32" hidden="1" customWidth="1"/>
    <col min="8682" max="8682" width="23.125" style="32" customWidth="1"/>
    <col min="8683" max="8683" width="20.125" style="32" customWidth="1"/>
    <col min="8684" max="8685" width="4.75" style="32" customWidth="1"/>
    <col min="8686" max="8686" width="6.125" style="32" customWidth="1"/>
    <col min="8687" max="8687" width="10.25" style="32" customWidth="1"/>
    <col min="8688" max="8688" width="7.125" style="32" customWidth="1"/>
    <col min="8689" max="8689" width="7.375" style="32" customWidth="1"/>
    <col min="8690" max="8796" width="8.75" style="32"/>
    <col min="8797" max="8828" width="9" style="32" customWidth="1"/>
    <col min="8829" max="8912" width="8.75" style="32"/>
    <col min="8913" max="8918" width="9" style="32" customWidth="1"/>
    <col min="8919" max="8932" width="8.75" style="32"/>
    <col min="8933" max="8933" width="4.25" style="32" customWidth="1"/>
    <col min="8934" max="8934" width="10.625" style="32" customWidth="1"/>
    <col min="8935" max="8937" width="8.75" style="32" hidden="1" customWidth="1"/>
    <col min="8938" max="8938" width="23.125" style="32" customWidth="1"/>
    <col min="8939" max="8939" width="20.125" style="32" customWidth="1"/>
    <col min="8940" max="8941" width="4.75" style="32" customWidth="1"/>
    <col min="8942" max="8942" width="6.125" style="32" customWidth="1"/>
    <col min="8943" max="8943" width="10.25" style="32" customWidth="1"/>
    <col min="8944" max="8944" width="7.125" style="32" customWidth="1"/>
    <col min="8945" max="8945" width="7.375" style="32" customWidth="1"/>
    <col min="8946" max="9052" width="8.75" style="32"/>
    <col min="9053" max="9084" width="9" style="32" customWidth="1"/>
    <col min="9085" max="9168" width="8.75" style="32"/>
    <col min="9169" max="9174" width="9" style="32" customWidth="1"/>
    <col min="9175" max="9188" width="8.75" style="32"/>
    <col min="9189" max="9189" width="4.25" style="32" customWidth="1"/>
    <col min="9190" max="9190" width="10.625" style="32" customWidth="1"/>
    <col min="9191" max="9193" width="8.75" style="32" hidden="1" customWidth="1"/>
    <col min="9194" max="9194" width="23.125" style="32" customWidth="1"/>
    <col min="9195" max="9195" width="20.125" style="32" customWidth="1"/>
    <col min="9196" max="9197" width="4.75" style="32" customWidth="1"/>
    <col min="9198" max="9198" width="6.125" style="32" customWidth="1"/>
    <col min="9199" max="9199" width="10.25" style="32" customWidth="1"/>
    <col min="9200" max="9200" width="7.125" style="32" customWidth="1"/>
    <col min="9201" max="9201" width="7.375" style="32" customWidth="1"/>
    <col min="9202" max="9308" width="8.75" style="32"/>
    <col min="9309" max="9340" width="9" style="32" customWidth="1"/>
    <col min="9341" max="9424" width="8.75" style="32"/>
    <col min="9425" max="9430" width="9" style="32" customWidth="1"/>
    <col min="9431" max="9444" width="8.75" style="32"/>
    <col min="9445" max="9445" width="4.25" style="32" customWidth="1"/>
    <col min="9446" max="9446" width="10.625" style="32" customWidth="1"/>
    <col min="9447" max="9449" width="8.75" style="32" hidden="1" customWidth="1"/>
    <col min="9450" max="9450" width="23.125" style="32" customWidth="1"/>
    <col min="9451" max="9451" width="20.125" style="32" customWidth="1"/>
    <col min="9452" max="9453" width="4.75" style="32" customWidth="1"/>
    <col min="9454" max="9454" width="6.125" style="32" customWidth="1"/>
    <col min="9455" max="9455" width="10.25" style="32" customWidth="1"/>
    <col min="9456" max="9456" width="7.125" style="32" customWidth="1"/>
    <col min="9457" max="9457" width="7.375" style="32" customWidth="1"/>
    <col min="9458" max="9564" width="8.75" style="32"/>
    <col min="9565" max="9596" width="9" style="32" customWidth="1"/>
    <col min="9597" max="9680" width="8.75" style="32"/>
    <col min="9681" max="9686" width="9" style="32" customWidth="1"/>
    <col min="9687" max="9700" width="8.75" style="32"/>
    <col min="9701" max="9701" width="4.25" style="32" customWidth="1"/>
    <col min="9702" max="9702" width="10.625" style="32" customWidth="1"/>
    <col min="9703" max="9705" width="8.75" style="32" hidden="1" customWidth="1"/>
    <col min="9706" max="9706" width="23.125" style="32" customWidth="1"/>
    <col min="9707" max="9707" width="20.125" style="32" customWidth="1"/>
    <col min="9708" max="9709" width="4.75" style="32" customWidth="1"/>
    <col min="9710" max="9710" width="6.125" style="32" customWidth="1"/>
    <col min="9711" max="9711" width="10.25" style="32" customWidth="1"/>
    <col min="9712" max="9712" width="7.125" style="32" customWidth="1"/>
    <col min="9713" max="9713" width="7.375" style="32" customWidth="1"/>
    <col min="9714" max="9820" width="8.75" style="32"/>
    <col min="9821" max="9852" width="9" style="32" customWidth="1"/>
    <col min="9853" max="9936" width="8.75" style="32"/>
    <col min="9937" max="9942" width="9" style="32" customWidth="1"/>
    <col min="9943" max="9956" width="8.75" style="32"/>
    <col min="9957" max="9957" width="4.25" style="32" customWidth="1"/>
    <col min="9958" max="9958" width="10.625" style="32" customWidth="1"/>
    <col min="9959" max="9961" width="8.75" style="32" hidden="1" customWidth="1"/>
    <col min="9962" max="9962" width="23.125" style="32" customWidth="1"/>
    <col min="9963" max="9963" width="20.125" style="32" customWidth="1"/>
    <col min="9964" max="9965" width="4.75" style="32" customWidth="1"/>
    <col min="9966" max="9966" width="6.125" style="32" customWidth="1"/>
    <col min="9967" max="9967" width="10.25" style="32" customWidth="1"/>
    <col min="9968" max="9968" width="7.125" style="32" customWidth="1"/>
    <col min="9969" max="9969" width="7.375" style="32" customWidth="1"/>
    <col min="9970" max="10076" width="8.75" style="32"/>
    <col min="10077" max="10108" width="9" style="32" customWidth="1"/>
    <col min="10109" max="10192" width="8.75" style="32"/>
    <col min="10193" max="10198" width="9" style="32" customWidth="1"/>
    <col min="10199" max="10212" width="8.75" style="32"/>
    <col min="10213" max="10213" width="4.25" style="32" customWidth="1"/>
    <col min="10214" max="10214" width="10.625" style="32" customWidth="1"/>
    <col min="10215" max="10217" width="8.75" style="32" hidden="1" customWidth="1"/>
    <col min="10218" max="10218" width="23.125" style="32" customWidth="1"/>
    <col min="10219" max="10219" width="20.125" style="32" customWidth="1"/>
    <col min="10220" max="10221" width="4.75" style="32" customWidth="1"/>
    <col min="10222" max="10222" width="6.125" style="32" customWidth="1"/>
    <col min="10223" max="10223" width="10.25" style="32" customWidth="1"/>
    <col min="10224" max="10224" width="7.125" style="32" customWidth="1"/>
    <col min="10225" max="10225" width="7.375" style="32" customWidth="1"/>
    <col min="10226" max="10332" width="8.75" style="32"/>
    <col min="10333" max="10364" width="9" style="32" customWidth="1"/>
    <col min="10365" max="10448" width="8.75" style="32"/>
    <col min="10449" max="10454" width="9" style="32" customWidth="1"/>
    <col min="10455" max="10468" width="8.75" style="32"/>
    <col min="10469" max="10469" width="4.25" style="32" customWidth="1"/>
    <col min="10470" max="10470" width="10.625" style="32" customWidth="1"/>
    <col min="10471" max="10473" width="8.75" style="32" hidden="1" customWidth="1"/>
    <col min="10474" max="10474" width="23.125" style="32" customWidth="1"/>
    <col min="10475" max="10475" width="20.125" style="32" customWidth="1"/>
    <col min="10476" max="10477" width="4.75" style="32" customWidth="1"/>
    <col min="10478" max="10478" width="6.125" style="32" customWidth="1"/>
    <col min="10479" max="10479" width="10.25" style="32" customWidth="1"/>
    <col min="10480" max="10480" width="7.125" style="32" customWidth="1"/>
    <col min="10481" max="10481" width="7.375" style="32" customWidth="1"/>
    <col min="10482" max="10588" width="8.75" style="32"/>
    <col min="10589" max="10620" width="9" style="32" customWidth="1"/>
    <col min="10621" max="10704" width="8.75" style="32"/>
    <col min="10705" max="10710" width="9" style="32" customWidth="1"/>
    <col min="10711" max="10724" width="8.75" style="32"/>
    <col min="10725" max="10725" width="4.25" style="32" customWidth="1"/>
    <col min="10726" max="10726" width="10.625" style="32" customWidth="1"/>
    <col min="10727" max="10729" width="8.75" style="32" hidden="1" customWidth="1"/>
    <col min="10730" max="10730" width="23.125" style="32" customWidth="1"/>
    <col min="10731" max="10731" width="20.125" style="32" customWidth="1"/>
    <col min="10732" max="10733" width="4.75" style="32" customWidth="1"/>
    <col min="10734" max="10734" width="6.125" style="32" customWidth="1"/>
    <col min="10735" max="10735" width="10.25" style="32" customWidth="1"/>
    <col min="10736" max="10736" width="7.125" style="32" customWidth="1"/>
    <col min="10737" max="10737" width="7.375" style="32" customWidth="1"/>
    <col min="10738" max="10844" width="8.75" style="32"/>
    <col min="10845" max="10876" width="9" style="32" customWidth="1"/>
    <col min="10877" max="10960" width="8.75" style="32"/>
    <col min="10961" max="10966" width="9" style="32" customWidth="1"/>
    <col min="10967" max="10980" width="8.75" style="32"/>
    <col min="10981" max="10981" width="4.25" style="32" customWidth="1"/>
    <col min="10982" max="10982" width="10.625" style="32" customWidth="1"/>
    <col min="10983" max="10985" width="8.75" style="32" hidden="1" customWidth="1"/>
    <col min="10986" max="10986" width="23.125" style="32" customWidth="1"/>
    <col min="10987" max="10987" width="20.125" style="32" customWidth="1"/>
    <col min="10988" max="10989" width="4.75" style="32" customWidth="1"/>
    <col min="10990" max="10990" width="6.125" style="32" customWidth="1"/>
    <col min="10991" max="10991" width="10.25" style="32" customWidth="1"/>
    <col min="10992" max="10992" width="7.125" style="32" customWidth="1"/>
    <col min="10993" max="10993" width="7.375" style="32" customWidth="1"/>
    <col min="10994" max="11100" width="8.75" style="32"/>
    <col min="11101" max="11132" width="9" style="32" customWidth="1"/>
    <col min="11133" max="11216" width="8.75" style="32"/>
    <col min="11217" max="11222" width="9" style="32" customWidth="1"/>
    <col min="11223" max="11236" width="8.75" style="32"/>
    <col min="11237" max="11237" width="4.25" style="32" customWidth="1"/>
    <col min="11238" max="11238" width="10.625" style="32" customWidth="1"/>
    <col min="11239" max="11241" width="8.75" style="32" hidden="1" customWidth="1"/>
    <col min="11242" max="11242" width="23.125" style="32" customWidth="1"/>
    <col min="11243" max="11243" width="20.125" style="32" customWidth="1"/>
    <col min="11244" max="11245" width="4.75" style="32" customWidth="1"/>
    <col min="11246" max="11246" width="6.125" style="32" customWidth="1"/>
    <col min="11247" max="11247" width="10.25" style="32" customWidth="1"/>
    <col min="11248" max="11248" width="7.125" style="32" customWidth="1"/>
    <col min="11249" max="11249" width="7.375" style="32" customWidth="1"/>
    <col min="11250" max="11356" width="8.75" style="32"/>
    <col min="11357" max="11388" width="9" style="32" customWidth="1"/>
    <col min="11389" max="11472" width="8.75" style="32"/>
    <col min="11473" max="11478" width="9" style="32" customWidth="1"/>
    <col min="11479" max="11492" width="8.75" style="32"/>
    <col min="11493" max="11493" width="4.25" style="32" customWidth="1"/>
    <col min="11494" max="11494" width="10.625" style="32" customWidth="1"/>
    <col min="11495" max="11497" width="8.75" style="32" hidden="1" customWidth="1"/>
    <col min="11498" max="11498" width="23.125" style="32" customWidth="1"/>
    <col min="11499" max="11499" width="20.125" style="32" customWidth="1"/>
    <col min="11500" max="11501" width="4.75" style="32" customWidth="1"/>
    <col min="11502" max="11502" width="6.125" style="32" customWidth="1"/>
    <col min="11503" max="11503" width="10.25" style="32" customWidth="1"/>
    <col min="11504" max="11504" width="7.125" style="32" customWidth="1"/>
    <col min="11505" max="11505" width="7.375" style="32" customWidth="1"/>
    <col min="11506" max="11612" width="8.75" style="32"/>
    <col min="11613" max="11644" width="9" style="32" customWidth="1"/>
    <col min="11645" max="11728" width="8.75" style="32"/>
    <col min="11729" max="11734" width="9" style="32" customWidth="1"/>
    <col min="11735" max="11748" width="8.75" style="32"/>
    <col min="11749" max="11749" width="4.25" style="32" customWidth="1"/>
    <col min="11750" max="11750" width="10.625" style="32" customWidth="1"/>
    <col min="11751" max="11753" width="8.75" style="32" hidden="1" customWidth="1"/>
    <col min="11754" max="11754" width="23.125" style="32" customWidth="1"/>
    <col min="11755" max="11755" width="20.125" style="32" customWidth="1"/>
    <col min="11756" max="11757" width="4.75" style="32" customWidth="1"/>
    <col min="11758" max="11758" width="6.125" style="32" customWidth="1"/>
    <col min="11759" max="11759" width="10.25" style="32" customWidth="1"/>
    <col min="11760" max="11760" width="7.125" style="32" customWidth="1"/>
    <col min="11761" max="11761" width="7.375" style="32" customWidth="1"/>
    <col min="11762" max="11868" width="8.75" style="32"/>
    <col min="11869" max="11900" width="9" style="32" customWidth="1"/>
    <col min="11901" max="11984" width="8.75" style="32"/>
    <col min="11985" max="11990" width="9" style="32" customWidth="1"/>
    <col min="11991" max="12004" width="8.75" style="32"/>
    <col min="12005" max="12005" width="4.25" style="32" customWidth="1"/>
    <col min="12006" max="12006" width="10.625" style="32" customWidth="1"/>
    <col min="12007" max="12009" width="8.75" style="32" hidden="1" customWidth="1"/>
    <col min="12010" max="12010" width="23.125" style="32" customWidth="1"/>
    <col min="12011" max="12011" width="20.125" style="32" customWidth="1"/>
    <col min="12012" max="12013" width="4.75" style="32" customWidth="1"/>
    <col min="12014" max="12014" width="6.125" style="32" customWidth="1"/>
    <col min="12015" max="12015" width="10.25" style="32" customWidth="1"/>
    <col min="12016" max="12016" width="7.125" style="32" customWidth="1"/>
    <col min="12017" max="12017" width="7.375" style="32" customWidth="1"/>
    <col min="12018" max="12124" width="8.75" style="32"/>
    <col min="12125" max="12156" width="9" style="32" customWidth="1"/>
    <col min="12157" max="12240" width="8.75" style="32"/>
    <col min="12241" max="12246" width="9" style="32" customWidth="1"/>
    <col min="12247" max="12260" width="8.75" style="32"/>
    <col min="12261" max="12261" width="4.25" style="32" customWidth="1"/>
    <col min="12262" max="12262" width="10.625" style="32" customWidth="1"/>
    <col min="12263" max="12265" width="8.75" style="32" hidden="1" customWidth="1"/>
    <col min="12266" max="12266" width="23.125" style="32" customWidth="1"/>
    <col min="12267" max="12267" width="20.125" style="32" customWidth="1"/>
    <col min="12268" max="12269" width="4.75" style="32" customWidth="1"/>
    <col min="12270" max="12270" width="6.125" style="32" customWidth="1"/>
    <col min="12271" max="12271" width="10.25" style="32" customWidth="1"/>
    <col min="12272" max="12272" width="7.125" style="32" customWidth="1"/>
    <col min="12273" max="12273" width="7.375" style="32" customWidth="1"/>
    <col min="12274" max="12380" width="8.75" style="32"/>
    <col min="12381" max="12412" width="9" style="32" customWidth="1"/>
    <col min="12413" max="12496" width="8.75" style="32"/>
    <col min="12497" max="12502" width="9" style="32" customWidth="1"/>
    <col min="12503" max="12516" width="8.75" style="32"/>
    <col min="12517" max="12517" width="4.25" style="32" customWidth="1"/>
    <col min="12518" max="12518" width="10.625" style="32" customWidth="1"/>
    <col min="12519" max="12521" width="8.75" style="32" hidden="1" customWidth="1"/>
    <col min="12522" max="12522" width="23.125" style="32" customWidth="1"/>
    <col min="12523" max="12523" width="20.125" style="32" customWidth="1"/>
    <col min="12524" max="12525" width="4.75" style="32" customWidth="1"/>
    <col min="12526" max="12526" width="6.125" style="32" customWidth="1"/>
    <col min="12527" max="12527" width="10.25" style="32" customWidth="1"/>
    <col min="12528" max="12528" width="7.125" style="32" customWidth="1"/>
    <col min="12529" max="12529" width="7.375" style="32" customWidth="1"/>
    <col min="12530" max="12636" width="8.75" style="32"/>
    <col min="12637" max="12668" width="9" style="32" customWidth="1"/>
    <col min="12669" max="12752" width="8.75" style="32"/>
    <col min="12753" max="12758" width="9" style="32" customWidth="1"/>
    <col min="12759" max="12772" width="8.75" style="32"/>
    <col min="12773" max="12773" width="4.25" style="32" customWidth="1"/>
    <col min="12774" max="12774" width="10.625" style="32" customWidth="1"/>
    <col min="12775" max="12777" width="8.75" style="32" hidden="1" customWidth="1"/>
    <col min="12778" max="12778" width="23.125" style="32" customWidth="1"/>
    <col min="12779" max="12779" width="20.125" style="32" customWidth="1"/>
    <col min="12780" max="12781" width="4.75" style="32" customWidth="1"/>
    <col min="12782" max="12782" width="6.125" style="32" customWidth="1"/>
    <col min="12783" max="12783" width="10.25" style="32" customWidth="1"/>
    <col min="12784" max="12784" width="7.125" style="32" customWidth="1"/>
    <col min="12785" max="12785" width="7.375" style="32" customWidth="1"/>
    <col min="12786" max="12892" width="8.75" style="32"/>
    <col min="12893" max="12924" width="9" style="32" customWidth="1"/>
    <col min="12925" max="13008" width="8.75" style="32"/>
    <col min="13009" max="13014" width="9" style="32" customWidth="1"/>
    <col min="13015" max="13028" width="8.75" style="32"/>
    <col min="13029" max="13029" width="4.25" style="32" customWidth="1"/>
    <col min="13030" max="13030" width="10.625" style="32" customWidth="1"/>
    <col min="13031" max="13033" width="8.75" style="32" hidden="1" customWidth="1"/>
    <col min="13034" max="13034" width="23.125" style="32" customWidth="1"/>
    <col min="13035" max="13035" width="20.125" style="32" customWidth="1"/>
    <col min="13036" max="13037" width="4.75" style="32" customWidth="1"/>
    <col min="13038" max="13038" width="6.125" style="32" customWidth="1"/>
    <col min="13039" max="13039" width="10.25" style="32" customWidth="1"/>
    <col min="13040" max="13040" width="7.125" style="32" customWidth="1"/>
    <col min="13041" max="13041" width="7.375" style="32" customWidth="1"/>
    <col min="13042" max="13148" width="8.75" style="32"/>
    <col min="13149" max="13180" width="9" style="32" customWidth="1"/>
    <col min="13181" max="13264" width="8.75" style="32"/>
    <col min="13265" max="13270" width="9" style="32" customWidth="1"/>
    <col min="13271" max="13284" width="8.75" style="32"/>
    <col min="13285" max="13285" width="4.25" style="32" customWidth="1"/>
    <col min="13286" max="13286" width="10.625" style="32" customWidth="1"/>
    <col min="13287" max="13289" width="8.75" style="32" hidden="1" customWidth="1"/>
    <col min="13290" max="13290" width="23.125" style="32" customWidth="1"/>
    <col min="13291" max="13291" width="20.125" style="32" customWidth="1"/>
    <col min="13292" max="13293" width="4.75" style="32" customWidth="1"/>
    <col min="13294" max="13294" width="6.125" style="32" customWidth="1"/>
    <col min="13295" max="13295" width="10.25" style="32" customWidth="1"/>
    <col min="13296" max="13296" width="7.125" style="32" customWidth="1"/>
    <col min="13297" max="13297" width="7.375" style="32" customWidth="1"/>
    <col min="13298" max="13404" width="8.75" style="32"/>
    <col min="13405" max="13436" width="9" style="32" customWidth="1"/>
    <col min="13437" max="13520" width="8.75" style="32"/>
    <col min="13521" max="13526" width="9" style="32" customWidth="1"/>
    <col min="13527" max="13540" width="8.75" style="32"/>
    <col min="13541" max="13541" width="4.25" style="32" customWidth="1"/>
    <col min="13542" max="13542" width="10.625" style="32" customWidth="1"/>
    <col min="13543" max="13545" width="8.75" style="32" hidden="1" customWidth="1"/>
    <col min="13546" max="13546" width="23.125" style="32" customWidth="1"/>
    <col min="13547" max="13547" width="20.125" style="32" customWidth="1"/>
    <col min="13548" max="13549" width="4.75" style="32" customWidth="1"/>
    <col min="13550" max="13550" width="6.125" style="32" customWidth="1"/>
    <col min="13551" max="13551" width="10.25" style="32" customWidth="1"/>
    <col min="13552" max="13552" width="7.125" style="32" customWidth="1"/>
    <col min="13553" max="13553" width="7.375" style="32" customWidth="1"/>
    <col min="13554" max="13660" width="8.75" style="32"/>
    <col min="13661" max="13692" width="9" style="32" customWidth="1"/>
    <col min="13693" max="13776" width="8.75" style="32"/>
    <col min="13777" max="13782" width="9" style="32" customWidth="1"/>
    <col min="13783" max="13796" width="8.75" style="32"/>
    <col min="13797" max="13797" width="4.25" style="32" customWidth="1"/>
    <col min="13798" max="13798" width="10.625" style="32" customWidth="1"/>
    <col min="13799" max="13801" width="8.75" style="32" hidden="1" customWidth="1"/>
    <col min="13802" max="13802" width="23.125" style="32" customWidth="1"/>
    <col min="13803" max="13803" width="20.125" style="32" customWidth="1"/>
    <col min="13804" max="13805" width="4.75" style="32" customWidth="1"/>
    <col min="13806" max="13806" width="6.125" style="32" customWidth="1"/>
    <col min="13807" max="13807" width="10.25" style="32" customWidth="1"/>
    <col min="13808" max="13808" width="7.125" style="32" customWidth="1"/>
    <col min="13809" max="13809" width="7.375" style="32" customWidth="1"/>
    <col min="13810" max="13916" width="8.75" style="32"/>
    <col min="13917" max="13948" width="9" style="32" customWidth="1"/>
    <col min="13949" max="14032" width="8.75" style="32"/>
    <col min="14033" max="14038" width="9" style="32" customWidth="1"/>
    <col min="14039" max="14052" width="8.75" style="32"/>
    <col min="14053" max="14053" width="4.25" style="32" customWidth="1"/>
    <col min="14054" max="14054" width="10.625" style="32" customWidth="1"/>
    <col min="14055" max="14057" width="8.75" style="32" hidden="1" customWidth="1"/>
    <col min="14058" max="14058" width="23.125" style="32" customWidth="1"/>
    <col min="14059" max="14059" width="20.125" style="32" customWidth="1"/>
    <col min="14060" max="14061" width="4.75" style="32" customWidth="1"/>
    <col min="14062" max="14062" width="6.125" style="32" customWidth="1"/>
    <col min="14063" max="14063" width="10.25" style="32" customWidth="1"/>
    <col min="14064" max="14064" width="7.125" style="32" customWidth="1"/>
    <col min="14065" max="14065" width="7.375" style="32" customWidth="1"/>
    <col min="14066" max="14172" width="8.75" style="32"/>
    <col min="14173" max="14204" width="9" style="32" customWidth="1"/>
    <col min="14205" max="14288" width="8.75" style="32"/>
    <col min="14289" max="14294" width="9" style="32" customWidth="1"/>
    <col min="14295" max="14308" width="8.75" style="32"/>
    <col min="14309" max="14309" width="4.25" style="32" customWidth="1"/>
    <col min="14310" max="14310" width="10.625" style="32" customWidth="1"/>
    <col min="14311" max="14313" width="8.75" style="32" hidden="1" customWidth="1"/>
    <col min="14314" max="14314" width="23.125" style="32" customWidth="1"/>
    <col min="14315" max="14315" width="20.125" style="32" customWidth="1"/>
    <col min="14316" max="14317" width="4.75" style="32" customWidth="1"/>
    <col min="14318" max="14318" width="6.125" style="32" customWidth="1"/>
    <col min="14319" max="14319" width="10.25" style="32" customWidth="1"/>
    <col min="14320" max="14320" width="7.125" style="32" customWidth="1"/>
    <col min="14321" max="14321" width="7.375" style="32" customWidth="1"/>
    <col min="14322" max="14428" width="8.75" style="32"/>
    <col min="14429" max="14460" width="9" style="32" customWidth="1"/>
    <col min="14461" max="14544" width="8.75" style="32"/>
    <col min="14545" max="14550" width="9" style="32" customWidth="1"/>
    <col min="14551" max="14564" width="8.75" style="32"/>
    <col min="14565" max="14565" width="4.25" style="32" customWidth="1"/>
    <col min="14566" max="14566" width="10.625" style="32" customWidth="1"/>
    <col min="14567" max="14569" width="8.75" style="32" hidden="1" customWidth="1"/>
    <col min="14570" max="14570" width="23.125" style="32" customWidth="1"/>
    <col min="14571" max="14571" width="20.125" style="32" customWidth="1"/>
    <col min="14572" max="14573" width="4.75" style="32" customWidth="1"/>
    <col min="14574" max="14574" width="6.125" style="32" customWidth="1"/>
    <col min="14575" max="14575" width="10.25" style="32" customWidth="1"/>
    <col min="14576" max="14576" width="7.125" style="32" customWidth="1"/>
    <col min="14577" max="14577" width="7.375" style="32" customWidth="1"/>
    <col min="14578" max="14684" width="8.75" style="32"/>
    <col min="14685" max="14716" width="9" style="32" customWidth="1"/>
    <col min="14717" max="14800" width="8.75" style="32"/>
    <col min="14801" max="14806" width="9" style="32" customWidth="1"/>
    <col min="14807" max="14820" width="8.75" style="32"/>
    <col min="14821" max="14821" width="4.25" style="32" customWidth="1"/>
    <col min="14822" max="14822" width="10.625" style="32" customWidth="1"/>
    <col min="14823" max="14825" width="8.75" style="32" hidden="1" customWidth="1"/>
    <col min="14826" max="14826" width="23.125" style="32" customWidth="1"/>
    <col min="14827" max="14827" width="20.125" style="32" customWidth="1"/>
    <col min="14828" max="14829" width="4.75" style="32" customWidth="1"/>
    <col min="14830" max="14830" width="6.125" style="32" customWidth="1"/>
    <col min="14831" max="14831" width="10.25" style="32" customWidth="1"/>
    <col min="14832" max="14832" width="7.125" style="32" customWidth="1"/>
    <col min="14833" max="14833" width="7.375" style="32" customWidth="1"/>
    <col min="14834" max="14940" width="8.75" style="32"/>
    <col min="14941" max="14972" width="9" style="32" customWidth="1"/>
    <col min="14973" max="15056" width="8.75" style="32"/>
    <col min="15057" max="15062" width="9" style="32" customWidth="1"/>
    <col min="15063" max="15076" width="8.75" style="32"/>
    <col min="15077" max="15077" width="4.25" style="32" customWidth="1"/>
    <col min="15078" max="15078" width="10.625" style="32" customWidth="1"/>
    <col min="15079" max="15081" width="8.75" style="32" hidden="1" customWidth="1"/>
    <col min="15082" max="15082" width="23.125" style="32" customWidth="1"/>
    <col min="15083" max="15083" width="20.125" style="32" customWidth="1"/>
    <col min="15084" max="15085" width="4.75" style="32" customWidth="1"/>
    <col min="15086" max="15086" width="6.125" style="32" customWidth="1"/>
    <col min="15087" max="15087" width="10.25" style="32" customWidth="1"/>
    <col min="15088" max="15088" width="7.125" style="32" customWidth="1"/>
    <col min="15089" max="15089" width="7.375" style="32" customWidth="1"/>
    <col min="15090" max="15196" width="8.75" style="32"/>
    <col min="15197" max="15228" width="9" style="32" customWidth="1"/>
    <col min="15229" max="15312" width="8.75" style="32"/>
    <col min="15313" max="15318" width="9" style="32" customWidth="1"/>
    <col min="15319" max="15332" width="8.75" style="32"/>
    <col min="15333" max="15333" width="4.25" style="32" customWidth="1"/>
    <col min="15334" max="15334" width="10.625" style="32" customWidth="1"/>
    <col min="15335" max="15337" width="8.75" style="32" hidden="1" customWidth="1"/>
    <col min="15338" max="15338" width="23.125" style="32" customWidth="1"/>
    <col min="15339" max="15339" width="20.125" style="32" customWidth="1"/>
    <col min="15340" max="15341" width="4.75" style="32" customWidth="1"/>
    <col min="15342" max="15342" width="6.125" style="32" customWidth="1"/>
    <col min="15343" max="15343" width="10.25" style="32" customWidth="1"/>
    <col min="15344" max="15344" width="7.125" style="32" customWidth="1"/>
    <col min="15345" max="15345" width="7.375" style="32" customWidth="1"/>
    <col min="15346" max="15452" width="8.75" style="32"/>
    <col min="15453" max="15484" width="9" style="32" customWidth="1"/>
    <col min="15485" max="15568" width="8.75" style="32"/>
    <col min="15569" max="15574" width="9" style="32" customWidth="1"/>
    <col min="15575" max="15588" width="8.75" style="32"/>
    <col min="15589" max="15589" width="4.25" style="32" customWidth="1"/>
    <col min="15590" max="15590" width="10.625" style="32" customWidth="1"/>
    <col min="15591" max="15593" width="8.75" style="32" hidden="1" customWidth="1"/>
    <col min="15594" max="15594" width="23.125" style="32" customWidth="1"/>
    <col min="15595" max="15595" width="20.125" style="32" customWidth="1"/>
    <col min="15596" max="15597" width="4.75" style="32" customWidth="1"/>
    <col min="15598" max="15598" width="6.125" style="32" customWidth="1"/>
    <col min="15599" max="15599" width="10.25" style="32" customWidth="1"/>
    <col min="15600" max="15600" width="7.125" style="32" customWidth="1"/>
    <col min="15601" max="15601" width="7.375" style="32" customWidth="1"/>
    <col min="15602" max="15708" width="8.75" style="32"/>
    <col min="15709" max="15740" width="9" style="32" customWidth="1"/>
    <col min="15741" max="15824" width="8.75" style="32"/>
    <col min="15825" max="15830" width="9" style="32" customWidth="1"/>
    <col min="15831" max="15844" width="8.75" style="32"/>
    <col min="15845" max="15845" width="4.25" style="32" customWidth="1"/>
    <col min="15846" max="15846" width="10.625" style="32" customWidth="1"/>
    <col min="15847" max="15849" width="8.75" style="32" hidden="1" customWidth="1"/>
    <col min="15850" max="15850" width="23.125" style="32" customWidth="1"/>
    <col min="15851" max="15851" width="20.125" style="32" customWidth="1"/>
    <col min="15852" max="15853" width="4.75" style="32" customWidth="1"/>
    <col min="15854" max="15854" width="6.125" style="32" customWidth="1"/>
    <col min="15855" max="15855" width="10.25" style="32" customWidth="1"/>
    <col min="15856" max="15856" width="7.125" style="32" customWidth="1"/>
    <col min="15857" max="15857" width="7.375" style="32" customWidth="1"/>
    <col min="15858" max="15964" width="8.75" style="32"/>
    <col min="15965" max="15996" width="9" style="32" customWidth="1"/>
    <col min="15997" max="16080" width="8.75" style="32"/>
    <col min="16081" max="16086" width="9" style="32" customWidth="1"/>
    <col min="16087" max="16100" width="8.75" style="32"/>
    <col min="16101" max="16101" width="4.25" style="32" customWidth="1"/>
    <col min="16102" max="16102" width="10.625" style="32" customWidth="1"/>
    <col min="16103" max="16105" width="8.75" style="32" hidden="1" customWidth="1"/>
    <col min="16106" max="16106" width="23.125" style="32" customWidth="1"/>
    <col min="16107" max="16107" width="20.125" style="32" customWidth="1"/>
    <col min="16108" max="16109" width="4.75" style="32" customWidth="1"/>
    <col min="16110" max="16110" width="6.125" style="32" customWidth="1"/>
    <col min="16111" max="16111" width="10.25" style="32" customWidth="1"/>
    <col min="16112" max="16112" width="7.125" style="32" customWidth="1"/>
    <col min="16113" max="16113" width="7.375" style="32" customWidth="1"/>
    <col min="16114" max="16220" width="8.75" style="32"/>
    <col min="16221" max="16252" width="9" style="32" customWidth="1"/>
    <col min="16253" max="16336" width="8.75" style="32"/>
    <col min="16337" max="16342" width="9" style="32" customWidth="1"/>
    <col min="16343" max="16382" width="8.75" style="32"/>
    <col min="16383" max="16383" width="8.75" style="40"/>
    <col min="16384" max="16384" width="8.75" style="32"/>
  </cols>
  <sheetData>
    <row r="1" spans="1:14" ht="15.95" customHeight="1">
      <c r="A1" s="98" t="s">
        <v>0</v>
      </c>
      <c r="B1" s="98"/>
      <c r="C1" s="98"/>
      <c r="D1" s="98"/>
      <c r="E1" s="98"/>
      <c r="F1" s="98"/>
      <c r="G1" s="98"/>
      <c r="H1" s="99"/>
      <c r="I1" s="99"/>
      <c r="J1" s="100"/>
      <c r="K1" s="132" t="s">
        <v>1</v>
      </c>
      <c r="L1" s="133"/>
      <c r="M1" s="134"/>
    </row>
    <row r="2" spans="1:14" ht="15.95" customHeight="1">
      <c r="A2" s="101" t="s">
        <v>2</v>
      </c>
      <c r="B2" s="101"/>
      <c r="C2" s="101"/>
      <c r="D2" s="101"/>
      <c r="E2" s="101"/>
      <c r="F2" s="101"/>
      <c r="G2" s="101"/>
      <c r="H2" s="102"/>
      <c r="I2" s="102"/>
      <c r="J2" s="103"/>
      <c r="K2" s="135"/>
      <c r="L2" s="136"/>
      <c r="M2" s="137"/>
    </row>
    <row r="3" spans="1:14" ht="15.95" customHeight="1">
      <c r="A3" s="104" t="s">
        <v>3</v>
      </c>
      <c r="B3" s="105"/>
      <c r="C3" s="105"/>
      <c r="D3" s="105"/>
      <c r="E3" s="105"/>
      <c r="F3" s="105"/>
      <c r="G3" s="105"/>
      <c r="H3" s="106"/>
      <c r="I3" s="106"/>
      <c r="J3" s="107"/>
      <c r="K3" s="135"/>
      <c r="L3" s="136"/>
      <c r="M3" s="137"/>
    </row>
    <row r="4" spans="1:14" ht="15.95" customHeight="1">
      <c r="A4" s="108" t="s">
        <v>4</v>
      </c>
      <c r="B4" s="109"/>
      <c r="C4" s="109"/>
      <c r="D4" s="109"/>
      <c r="E4" s="109"/>
      <c r="F4" s="109"/>
      <c r="G4" s="109"/>
      <c r="H4" s="110"/>
      <c r="I4" s="110"/>
      <c r="J4" s="111"/>
      <c r="K4" s="135"/>
      <c r="L4" s="136"/>
      <c r="M4" s="137"/>
    </row>
    <row r="5" spans="1:14" ht="15.95" customHeight="1">
      <c r="A5" s="101" t="s">
        <v>5</v>
      </c>
      <c r="B5" s="101"/>
      <c r="C5" s="101"/>
      <c r="D5" s="101"/>
      <c r="E5" s="101"/>
      <c r="F5" s="101"/>
      <c r="G5" s="101"/>
      <c r="H5" s="102"/>
      <c r="I5" s="102"/>
      <c r="J5" s="103"/>
      <c r="K5" s="135"/>
      <c r="L5" s="136"/>
      <c r="M5" s="137"/>
    </row>
    <row r="6" spans="1:14" ht="15.95" customHeight="1">
      <c r="A6" s="105" t="s">
        <v>6</v>
      </c>
      <c r="B6" s="105"/>
      <c r="C6" s="105"/>
      <c r="D6" s="105"/>
      <c r="E6" s="105"/>
      <c r="F6" s="105"/>
      <c r="G6" s="105"/>
      <c r="H6" s="106"/>
      <c r="I6" s="106"/>
      <c r="J6" s="107"/>
      <c r="K6" s="138"/>
      <c r="L6" s="139"/>
      <c r="M6" s="140"/>
    </row>
    <row r="7" spans="1:14" ht="15.95" customHeight="1">
      <c r="A7" s="112" t="s">
        <v>7</v>
      </c>
      <c r="B7" s="113"/>
      <c r="C7" s="113"/>
      <c r="D7" s="113"/>
      <c r="E7" s="113"/>
      <c r="F7" s="113"/>
      <c r="G7" s="114"/>
      <c r="H7" s="141" t="s">
        <v>856</v>
      </c>
      <c r="I7" s="94"/>
      <c r="J7" s="95"/>
      <c r="K7" s="115" t="s">
        <v>9</v>
      </c>
      <c r="L7" s="116"/>
      <c r="M7" s="117"/>
    </row>
    <row r="8" spans="1:14" ht="15.95" customHeight="1">
      <c r="A8" s="112" t="s">
        <v>10</v>
      </c>
      <c r="B8" s="113"/>
      <c r="C8" s="113"/>
      <c r="D8" s="113"/>
      <c r="E8" s="113"/>
      <c r="F8" s="113"/>
      <c r="G8" s="114"/>
      <c r="H8" s="142"/>
      <c r="I8" s="96"/>
      <c r="J8" s="97"/>
      <c r="K8" s="118" t="s">
        <v>11</v>
      </c>
      <c r="L8" s="119"/>
      <c r="M8" s="120"/>
    </row>
    <row r="9" spans="1:14" s="32" customFormat="1" ht="27" customHeight="1">
      <c r="A9" s="121" t="s">
        <v>14</v>
      </c>
      <c r="B9" s="121"/>
      <c r="C9" s="121"/>
      <c r="D9" s="121"/>
      <c r="E9" s="121"/>
      <c r="F9" s="121"/>
      <c r="G9" s="122"/>
      <c r="H9" s="128" t="s">
        <v>15</v>
      </c>
      <c r="I9" s="128" t="s">
        <v>16</v>
      </c>
      <c r="J9" s="43" t="s">
        <v>17</v>
      </c>
      <c r="K9" s="44" t="s">
        <v>18</v>
      </c>
      <c r="L9" s="130" t="s">
        <v>19</v>
      </c>
      <c r="M9" s="128" t="s">
        <v>20</v>
      </c>
    </row>
    <row r="10" spans="1:14" s="32" customFormat="1" ht="21.75" customHeight="1">
      <c r="A10" s="45" t="s">
        <v>12</v>
      </c>
      <c r="B10" s="43" t="s">
        <v>857</v>
      </c>
      <c r="C10" s="43" t="s">
        <v>21</v>
      </c>
      <c r="D10" s="43" t="s">
        <v>858</v>
      </c>
      <c r="E10" s="12" t="s">
        <v>23</v>
      </c>
      <c r="F10" s="12" t="s">
        <v>24</v>
      </c>
      <c r="G10" s="12" t="s">
        <v>25</v>
      </c>
      <c r="H10" s="129"/>
      <c r="I10" s="129"/>
      <c r="J10" s="43" t="s">
        <v>859</v>
      </c>
      <c r="K10" s="44" t="s">
        <v>859</v>
      </c>
      <c r="L10" s="131"/>
      <c r="M10" s="129"/>
    </row>
    <row r="11" spans="1:14" s="32" customFormat="1" ht="15.95" customHeight="1">
      <c r="A11" s="123" t="s">
        <v>27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</row>
    <row r="12" spans="1:14" s="33" customFormat="1" ht="30" customHeight="1">
      <c r="A12" s="46">
        <v>1</v>
      </c>
      <c r="B12" s="18" t="s">
        <v>28</v>
      </c>
      <c r="C12" s="17" t="s">
        <v>29</v>
      </c>
      <c r="D12" s="17" t="s">
        <v>30</v>
      </c>
      <c r="E12" s="18" t="s">
        <v>31</v>
      </c>
      <c r="F12" s="19" t="s">
        <v>32</v>
      </c>
      <c r="G12" s="18" t="s">
        <v>33</v>
      </c>
      <c r="H12" s="47">
        <v>1</v>
      </c>
      <c r="I12" s="48" t="s">
        <v>34</v>
      </c>
      <c r="J12" s="23">
        <v>421</v>
      </c>
      <c r="K12" s="23">
        <f>H12*J12</f>
        <v>421</v>
      </c>
      <c r="L12" s="21">
        <v>853710</v>
      </c>
      <c r="M12" s="49" t="s">
        <v>35</v>
      </c>
      <c r="N12" s="39"/>
    </row>
    <row r="13" spans="1:14" s="33" customFormat="1" ht="30" customHeight="1">
      <c r="A13" s="46">
        <v>2</v>
      </c>
      <c r="B13" s="18" t="s">
        <v>28</v>
      </c>
      <c r="C13" s="17" t="s">
        <v>36</v>
      </c>
      <c r="D13" s="17" t="s">
        <v>30</v>
      </c>
      <c r="E13" s="18" t="s">
        <v>887</v>
      </c>
      <c r="F13" s="19" t="s">
        <v>38</v>
      </c>
      <c r="G13" s="18" t="s">
        <v>39</v>
      </c>
      <c r="H13" s="47">
        <v>2</v>
      </c>
      <c r="I13" s="48" t="s">
        <v>40</v>
      </c>
      <c r="J13" s="23">
        <v>94</v>
      </c>
      <c r="K13" s="23">
        <f t="shared" ref="K13:K44" si="0">H13*J13</f>
        <v>188</v>
      </c>
      <c r="L13" s="21">
        <v>848180</v>
      </c>
      <c r="M13" s="49" t="s">
        <v>41</v>
      </c>
      <c r="N13" s="39"/>
    </row>
    <row r="14" spans="1:14" s="33" customFormat="1" ht="30" customHeight="1">
      <c r="A14" s="46">
        <v>3</v>
      </c>
      <c r="B14" s="18" t="s">
        <v>28</v>
      </c>
      <c r="C14" s="17" t="s">
        <v>42</v>
      </c>
      <c r="D14" s="17" t="s">
        <v>43</v>
      </c>
      <c r="E14" s="18" t="s">
        <v>44</v>
      </c>
      <c r="F14" s="19" t="s">
        <v>45</v>
      </c>
      <c r="G14" s="18" t="s">
        <v>46</v>
      </c>
      <c r="H14" s="47">
        <v>4</v>
      </c>
      <c r="I14" s="48" t="s">
        <v>40</v>
      </c>
      <c r="J14" s="23">
        <v>19</v>
      </c>
      <c r="K14" s="23">
        <f t="shared" si="0"/>
        <v>76</v>
      </c>
      <c r="L14" s="21">
        <v>401699</v>
      </c>
      <c r="M14" s="49" t="s">
        <v>47</v>
      </c>
      <c r="N14" s="39"/>
    </row>
    <row r="15" spans="1:14" s="33" customFormat="1" ht="30" customHeight="1">
      <c r="A15" s="46">
        <v>4</v>
      </c>
      <c r="B15" s="18" t="s">
        <v>28</v>
      </c>
      <c r="C15" s="17" t="s">
        <v>48</v>
      </c>
      <c r="D15" s="17" t="s">
        <v>30</v>
      </c>
      <c r="E15" s="18" t="s">
        <v>49</v>
      </c>
      <c r="F15" s="19" t="s">
        <v>50</v>
      </c>
      <c r="G15" s="18" t="s">
        <v>51</v>
      </c>
      <c r="H15" s="47">
        <v>10</v>
      </c>
      <c r="I15" s="48" t="s">
        <v>40</v>
      </c>
      <c r="J15" s="23">
        <v>3</v>
      </c>
      <c r="K15" s="23">
        <f t="shared" si="0"/>
        <v>30</v>
      </c>
      <c r="L15" s="21">
        <v>731815</v>
      </c>
      <c r="M15" s="49" t="s">
        <v>52</v>
      </c>
      <c r="N15" s="39"/>
    </row>
    <row r="16" spans="1:14" s="33" customFormat="1" ht="30" customHeight="1">
      <c r="A16" s="46">
        <v>5</v>
      </c>
      <c r="B16" s="18" t="s">
        <v>28</v>
      </c>
      <c r="C16" s="17" t="s">
        <v>53</v>
      </c>
      <c r="D16" s="17" t="s">
        <v>30</v>
      </c>
      <c r="E16" s="18" t="s">
        <v>54</v>
      </c>
      <c r="F16" s="19" t="s">
        <v>55</v>
      </c>
      <c r="G16" s="18" t="s">
        <v>56</v>
      </c>
      <c r="H16" s="47">
        <v>2</v>
      </c>
      <c r="I16" s="48" t="s">
        <v>40</v>
      </c>
      <c r="J16" s="23">
        <v>51</v>
      </c>
      <c r="K16" s="23">
        <f t="shared" si="0"/>
        <v>102</v>
      </c>
      <c r="L16" s="21">
        <v>731210</v>
      </c>
      <c r="M16" s="49" t="s">
        <v>57</v>
      </c>
      <c r="N16" s="39"/>
    </row>
    <row r="17" spans="1:14" s="33" customFormat="1" ht="30" customHeight="1">
      <c r="A17" s="46">
        <v>6</v>
      </c>
      <c r="B17" s="18" t="s">
        <v>28</v>
      </c>
      <c r="C17" s="17" t="s">
        <v>58</v>
      </c>
      <c r="D17" s="17" t="s">
        <v>30</v>
      </c>
      <c r="E17" s="18" t="s">
        <v>59</v>
      </c>
      <c r="F17" s="19" t="s">
        <v>888</v>
      </c>
      <c r="G17" s="18" t="s">
        <v>61</v>
      </c>
      <c r="H17" s="47">
        <v>5</v>
      </c>
      <c r="I17" s="48" t="s">
        <v>40</v>
      </c>
      <c r="J17" s="23">
        <v>44</v>
      </c>
      <c r="K17" s="23">
        <f t="shared" si="0"/>
        <v>220</v>
      </c>
      <c r="L17" s="21">
        <v>731815</v>
      </c>
      <c r="M17" s="49" t="s">
        <v>62</v>
      </c>
      <c r="N17" s="39"/>
    </row>
    <row r="18" spans="1:14" s="33" customFormat="1" ht="30" customHeight="1">
      <c r="A18" s="46">
        <v>7</v>
      </c>
      <c r="B18" s="18" t="s">
        <v>28</v>
      </c>
      <c r="C18" s="17" t="s">
        <v>63</v>
      </c>
      <c r="D18" s="17" t="s">
        <v>30</v>
      </c>
      <c r="E18" s="18" t="s">
        <v>64</v>
      </c>
      <c r="F18" s="19" t="s">
        <v>65</v>
      </c>
      <c r="G18" s="18" t="s">
        <v>66</v>
      </c>
      <c r="H18" s="47">
        <v>20</v>
      </c>
      <c r="I18" s="48" t="s">
        <v>40</v>
      </c>
      <c r="J18" s="23">
        <v>11</v>
      </c>
      <c r="K18" s="23">
        <f t="shared" si="0"/>
        <v>220</v>
      </c>
      <c r="L18" s="21">
        <v>732690</v>
      </c>
      <c r="M18" s="49" t="s">
        <v>67</v>
      </c>
      <c r="N18" s="39"/>
    </row>
    <row r="19" spans="1:14" s="33" customFormat="1" ht="30" customHeight="1">
      <c r="A19" s="46">
        <v>8</v>
      </c>
      <c r="B19" s="18" t="s">
        <v>28</v>
      </c>
      <c r="C19" s="17" t="s">
        <v>68</v>
      </c>
      <c r="D19" s="17" t="s">
        <v>30</v>
      </c>
      <c r="E19" s="18" t="s">
        <v>69</v>
      </c>
      <c r="F19" s="19" t="s">
        <v>70</v>
      </c>
      <c r="G19" s="18" t="s">
        <v>71</v>
      </c>
      <c r="H19" s="47">
        <v>20</v>
      </c>
      <c r="I19" s="48" t="s">
        <v>40</v>
      </c>
      <c r="J19" s="23">
        <v>12</v>
      </c>
      <c r="K19" s="23">
        <f t="shared" si="0"/>
        <v>240</v>
      </c>
      <c r="L19" s="21">
        <v>732690</v>
      </c>
      <c r="M19" s="49" t="s">
        <v>72</v>
      </c>
      <c r="N19" s="39"/>
    </row>
    <row r="20" spans="1:14" s="33" customFormat="1" ht="30" customHeight="1">
      <c r="A20" s="46">
        <v>9</v>
      </c>
      <c r="B20" s="18" t="s">
        <v>28</v>
      </c>
      <c r="C20" s="17" t="s">
        <v>73</v>
      </c>
      <c r="D20" s="17" t="s">
        <v>30</v>
      </c>
      <c r="E20" s="18" t="s">
        <v>69</v>
      </c>
      <c r="F20" s="19" t="s">
        <v>74</v>
      </c>
      <c r="G20" s="18" t="s">
        <v>75</v>
      </c>
      <c r="H20" s="47">
        <v>50</v>
      </c>
      <c r="I20" s="48" t="s">
        <v>40</v>
      </c>
      <c r="J20" s="23">
        <v>13</v>
      </c>
      <c r="K20" s="23">
        <f t="shared" si="0"/>
        <v>650</v>
      </c>
      <c r="L20" s="21">
        <v>732690</v>
      </c>
      <c r="M20" s="49" t="s">
        <v>76</v>
      </c>
      <c r="N20" s="39"/>
    </row>
    <row r="21" spans="1:14" s="33" customFormat="1" ht="30" customHeight="1">
      <c r="A21" s="46">
        <v>10</v>
      </c>
      <c r="B21" s="18" t="s">
        <v>28</v>
      </c>
      <c r="C21" s="17" t="s">
        <v>77</v>
      </c>
      <c r="D21" s="17" t="s">
        <v>30</v>
      </c>
      <c r="E21" s="18" t="s">
        <v>78</v>
      </c>
      <c r="F21" s="19" t="s">
        <v>79</v>
      </c>
      <c r="G21" s="18" t="s">
        <v>80</v>
      </c>
      <c r="H21" s="47">
        <v>4</v>
      </c>
      <c r="I21" s="48" t="s">
        <v>40</v>
      </c>
      <c r="J21" s="23">
        <v>147</v>
      </c>
      <c r="K21" s="23">
        <f t="shared" si="0"/>
        <v>588</v>
      </c>
      <c r="L21" s="21">
        <v>870880</v>
      </c>
      <c r="M21" s="49" t="s">
        <v>81</v>
      </c>
      <c r="N21" s="39"/>
    </row>
    <row r="22" spans="1:14" s="33" customFormat="1" ht="30" customHeight="1">
      <c r="A22" s="46">
        <v>11</v>
      </c>
      <c r="B22" s="18" t="s">
        <v>28</v>
      </c>
      <c r="C22" s="17" t="s">
        <v>82</v>
      </c>
      <c r="D22" s="17" t="s">
        <v>30</v>
      </c>
      <c r="E22" s="18" t="s">
        <v>83</v>
      </c>
      <c r="F22" s="19">
        <v>4584002159</v>
      </c>
      <c r="G22" s="18" t="s">
        <v>84</v>
      </c>
      <c r="H22" s="47">
        <v>2</v>
      </c>
      <c r="I22" s="48" t="s">
        <v>40</v>
      </c>
      <c r="J22" s="23">
        <v>105</v>
      </c>
      <c r="K22" s="23">
        <f t="shared" si="0"/>
        <v>210</v>
      </c>
      <c r="L22" s="21">
        <v>732690</v>
      </c>
      <c r="M22" s="49" t="s">
        <v>85</v>
      </c>
      <c r="N22" s="39"/>
    </row>
    <row r="23" spans="1:14" s="33" customFormat="1" ht="30" customHeight="1">
      <c r="A23" s="46">
        <v>12</v>
      </c>
      <c r="B23" s="18" t="s">
        <v>28</v>
      </c>
      <c r="C23" s="17" t="s">
        <v>86</v>
      </c>
      <c r="D23" s="17" t="s">
        <v>30</v>
      </c>
      <c r="E23" s="18" t="s">
        <v>87</v>
      </c>
      <c r="F23" s="19">
        <v>4584002158</v>
      </c>
      <c r="G23" s="18" t="s">
        <v>88</v>
      </c>
      <c r="H23" s="47">
        <v>12</v>
      </c>
      <c r="I23" s="48" t="s">
        <v>40</v>
      </c>
      <c r="J23" s="23">
        <v>105</v>
      </c>
      <c r="K23" s="23">
        <f t="shared" si="0"/>
        <v>1260</v>
      </c>
      <c r="L23" s="21">
        <v>732690</v>
      </c>
      <c r="M23" s="49" t="s">
        <v>89</v>
      </c>
      <c r="N23" s="39"/>
    </row>
    <row r="24" spans="1:14" s="33" customFormat="1" ht="30" customHeight="1">
      <c r="A24" s="46">
        <v>13</v>
      </c>
      <c r="B24" s="18" t="s">
        <v>28</v>
      </c>
      <c r="C24" s="17" t="s">
        <v>90</v>
      </c>
      <c r="D24" s="17" t="s">
        <v>30</v>
      </c>
      <c r="E24" s="18" t="s">
        <v>91</v>
      </c>
      <c r="F24" s="19" t="s">
        <v>92</v>
      </c>
      <c r="G24" s="18" t="s">
        <v>93</v>
      </c>
      <c r="H24" s="47">
        <v>2</v>
      </c>
      <c r="I24" s="48" t="s">
        <v>40</v>
      </c>
      <c r="J24" s="23">
        <v>17</v>
      </c>
      <c r="K24" s="23">
        <f t="shared" si="0"/>
        <v>34</v>
      </c>
      <c r="L24" s="21">
        <v>853690</v>
      </c>
      <c r="M24" s="49" t="s">
        <v>94</v>
      </c>
      <c r="N24" s="39"/>
    </row>
    <row r="25" spans="1:14" s="33" customFormat="1" ht="30" customHeight="1">
      <c r="A25" s="46">
        <v>14</v>
      </c>
      <c r="B25" s="18" t="s">
        <v>28</v>
      </c>
      <c r="C25" s="17" t="s">
        <v>95</v>
      </c>
      <c r="D25" s="17" t="s">
        <v>30</v>
      </c>
      <c r="E25" s="18" t="s">
        <v>96</v>
      </c>
      <c r="F25" s="19" t="s">
        <v>97</v>
      </c>
      <c r="G25" s="18" t="s">
        <v>98</v>
      </c>
      <c r="H25" s="47">
        <v>3</v>
      </c>
      <c r="I25" s="48" t="s">
        <v>40</v>
      </c>
      <c r="J25" s="23">
        <v>502</v>
      </c>
      <c r="K25" s="23">
        <f t="shared" si="0"/>
        <v>1506</v>
      </c>
      <c r="L25" s="21">
        <v>732690</v>
      </c>
      <c r="M25" s="49" t="s">
        <v>99</v>
      </c>
      <c r="N25" s="39"/>
    </row>
    <row r="26" spans="1:14" s="33" customFormat="1" ht="30" customHeight="1">
      <c r="A26" s="46">
        <v>15</v>
      </c>
      <c r="B26" s="18" t="s">
        <v>28</v>
      </c>
      <c r="C26" s="17" t="s">
        <v>100</v>
      </c>
      <c r="D26" s="17" t="s">
        <v>30</v>
      </c>
      <c r="E26" s="18" t="s">
        <v>101</v>
      </c>
      <c r="F26" s="19">
        <v>4553006658</v>
      </c>
      <c r="G26" s="18" t="s">
        <v>102</v>
      </c>
      <c r="H26" s="47">
        <v>2</v>
      </c>
      <c r="I26" s="48" t="s">
        <v>40</v>
      </c>
      <c r="J26" s="23">
        <v>365</v>
      </c>
      <c r="K26" s="23">
        <f t="shared" si="0"/>
        <v>730</v>
      </c>
      <c r="L26" s="21">
        <v>853710</v>
      </c>
      <c r="M26" s="49" t="s">
        <v>103</v>
      </c>
      <c r="N26" s="39"/>
    </row>
    <row r="27" spans="1:14" s="33" customFormat="1" ht="30" customHeight="1">
      <c r="A27" s="46">
        <v>16</v>
      </c>
      <c r="B27" s="18" t="s">
        <v>28</v>
      </c>
      <c r="C27" s="17" t="s">
        <v>104</v>
      </c>
      <c r="D27" s="17" t="s">
        <v>30</v>
      </c>
      <c r="E27" s="18" t="s">
        <v>105</v>
      </c>
      <c r="F27" s="19">
        <v>4553006662</v>
      </c>
      <c r="G27" s="18" t="s">
        <v>106</v>
      </c>
      <c r="H27" s="47">
        <v>2</v>
      </c>
      <c r="I27" s="48" t="s">
        <v>40</v>
      </c>
      <c r="J27" s="23">
        <v>154</v>
      </c>
      <c r="K27" s="23">
        <f t="shared" si="0"/>
        <v>308</v>
      </c>
      <c r="L27" s="21">
        <v>870829</v>
      </c>
      <c r="M27" s="49" t="s">
        <v>107</v>
      </c>
      <c r="N27" s="39"/>
    </row>
    <row r="28" spans="1:14" s="33" customFormat="1" ht="30" customHeight="1">
      <c r="A28" s="46">
        <v>17</v>
      </c>
      <c r="B28" s="18" t="s">
        <v>28</v>
      </c>
      <c r="C28" s="17" t="s">
        <v>108</v>
      </c>
      <c r="D28" s="17" t="s">
        <v>30</v>
      </c>
      <c r="E28" s="18" t="s">
        <v>109</v>
      </c>
      <c r="F28" s="19" t="s">
        <v>110</v>
      </c>
      <c r="G28" s="18" t="s">
        <v>111</v>
      </c>
      <c r="H28" s="47">
        <v>2</v>
      </c>
      <c r="I28" s="48" t="s">
        <v>40</v>
      </c>
      <c r="J28" s="23">
        <v>63</v>
      </c>
      <c r="K28" s="23">
        <f t="shared" si="0"/>
        <v>126</v>
      </c>
      <c r="L28" s="21">
        <v>853651</v>
      </c>
      <c r="M28" s="49" t="s">
        <v>112</v>
      </c>
      <c r="N28" s="39"/>
    </row>
    <row r="29" spans="1:14" s="33" customFormat="1" ht="30" customHeight="1">
      <c r="A29" s="46">
        <v>18</v>
      </c>
      <c r="B29" s="18" t="s">
        <v>28</v>
      </c>
      <c r="C29" s="17" t="s">
        <v>113</v>
      </c>
      <c r="D29" s="17" t="s">
        <v>30</v>
      </c>
      <c r="E29" s="18" t="s">
        <v>114</v>
      </c>
      <c r="F29" s="19" t="s">
        <v>115</v>
      </c>
      <c r="G29" s="18" t="s">
        <v>116</v>
      </c>
      <c r="H29" s="47">
        <v>4</v>
      </c>
      <c r="I29" s="48" t="s">
        <v>40</v>
      </c>
      <c r="J29" s="23">
        <v>69</v>
      </c>
      <c r="K29" s="23">
        <f t="shared" si="0"/>
        <v>276</v>
      </c>
      <c r="L29" s="21">
        <v>853690</v>
      </c>
      <c r="M29" s="49" t="s">
        <v>117</v>
      </c>
      <c r="N29" s="39"/>
    </row>
    <row r="30" spans="1:14" s="33" customFormat="1" ht="30" customHeight="1">
      <c r="A30" s="46">
        <v>19</v>
      </c>
      <c r="B30" s="18" t="s">
        <v>28</v>
      </c>
      <c r="C30" s="17" t="s">
        <v>118</v>
      </c>
      <c r="D30" s="17" t="s">
        <v>30</v>
      </c>
      <c r="E30" s="18" t="s">
        <v>119</v>
      </c>
      <c r="F30" s="19" t="s">
        <v>120</v>
      </c>
      <c r="G30" s="18" t="s">
        <v>121</v>
      </c>
      <c r="H30" s="47">
        <v>3</v>
      </c>
      <c r="I30" s="48" t="s">
        <v>40</v>
      </c>
      <c r="J30" s="23">
        <v>292</v>
      </c>
      <c r="K30" s="23">
        <f t="shared" si="0"/>
        <v>876</v>
      </c>
      <c r="L30" s="21">
        <v>732690</v>
      </c>
      <c r="M30" s="49" t="s">
        <v>122</v>
      </c>
      <c r="N30" s="39"/>
    </row>
    <row r="31" spans="1:14" s="33" customFormat="1" ht="30" customHeight="1">
      <c r="A31" s="46">
        <v>20</v>
      </c>
      <c r="B31" s="18" t="s">
        <v>28</v>
      </c>
      <c r="C31" s="17" t="s">
        <v>123</v>
      </c>
      <c r="D31" s="17" t="s">
        <v>30</v>
      </c>
      <c r="E31" s="18" t="s">
        <v>124</v>
      </c>
      <c r="F31" s="19">
        <v>4581007526</v>
      </c>
      <c r="G31" s="18" t="s">
        <v>125</v>
      </c>
      <c r="H31" s="47">
        <v>3</v>
      </c>
      <c r="I31" s="48" t="s">
        <v>40</v>
      </c>
      <c r="J31" s="23">
        <v>90</v>
      </c>
      <c r="K31" s="23">
        <f t="shared" si="0"/>
        <v>270</v>
      </c>
      <c r="L31" s="21">
        <v>400921</v>
      </c>
      <c r="M31" s="49" t="s">
        <v>126</v>
      </c>
      <c r="N31" s="39"/>
    </row>
    <row r="32" spans="1:14" s="33" customFormat="1" ht="30" customHeight="1">
      <c r="A32" s="46">
        <v>21</v>
      </c>
      <c r="B32" s="18" t="s">
        <v>28</v>
      </c>
      <c r="C32" s="17" t="s">
        <v>127</v>
      </c>
      <c r="D32" s="17" t="s">
        <v>30</v>
      </c>
      <c r="E32" s="18" t="s">
        <v>128</v>
      </c>
      <c r="F32" s="19">
        <v>4581007525</v>
      </c>
      <c r="G32" s="18" t="s">
        <v>129</v>
      </c>
      <c r="H32" s="47">
        <v>3</v>
      </c>
      <c r="I32" s="48" t="s">
        <v>40</v>
      </c>
      <c r="J32" s="23">
        <v>72</v>
      </c>
      <c r="K32" s="23">
        <f t="shared" si="0"/>
        <v>216</v>
      </c>
      <c r="L32" s="21">
        <v>854430</v>
      </c>
      <c r="M32" s="49" t="s">
        <v>130</v>
      </c>
      <c r="N32" s="39"/>
    </row>
    <row r="33" spans="1:14" s="33" customFormat="1" ht="30" customHeight="1">
      <c r="A33" s="46">
        <v>22</v>
      </c>
      <c r="B33" s="18" t="s">
        <v>28</v>
      </c>
      <c r="C33" s="17" t="s">
        <v>131</v>
      </c>
      <c r="D33" s="17" t="s">
        <v>30</v>
      </c>
      <c r="E33" s="18" t="s">
        <v>132</v>
      </c>
      <c r="F33" s="19">
        <v>4581007527</v>
      </c>
      <c r="G33" s="18" t="s">
        <v>133</v>
      </c>
      <c r="H33" s="47">
        <v>3</v>
      </c>
      <c r="I33" s="48" t="s">
        <v>40</v>
      </c>
      <c r="J33" s="23">
        <v>69</v>
      </c>
      <c r="K33" s="23">
        <f t="shared" si="0"/>
        <v>207</v>
      </c>
      <c r="L33" s="21">
        <v>400921</v>
      </c>
      <c r="M33" s="49" t="s">
        <v>134</v>
      </c>
      <c r="N33" s="39"/>
    </row>
    <row r="34" spans="1:14" s="33" customFormat="1" ht="30" customHeight="1">
      <c r="A34" s="46">
        <v>23</v>
      </c>
      <c r="B34" s="18" t="s">
        <v>28</v>
      </c>
      <c r="C34" s="17" t="s">
        <v>135</v>
      </c>
      <c r="D34" s="17" t="s">
        <v>30</v>
      </c>
      <c r="E34" s="18" t="s">
        <v>136</v>
      </c>
      <c r="F34" s="19" t="s">
        <v>137</v>
      </c>
      <c r="G34" s="18" t="s">
        <v>138</v>
      </c>
      <c r="H34" s="47">
        <v>3</v>
      </c>
      <c r="I34" s="48" t="s">
        <v>40</v>
      </c>
      <c r="J34" s="23">
        <v>51</v>
      </c>
      <c r="K34" s="23">
        <f t="shared" si="0"/>
        <v>153</v>
      </c>
      <c r="L34" s="21">
        <v>853690</v>
      </c>
      <c r="M34" s="49" t="s">
        <v>139</v>
      </c>
      <c r="N34" s="39"/>
    </row>
    <row r="35" spans="1:14" s="33" customFormat="1" ht="30" customHeight="1">
      <c r="A35" s="46">
        <v>24</v>
      </c>
      <c r="B35" s="18" t="s">
        <v>28</v>
      </c>
      <c r="C35" s="17" t="s">
        <v>140</v>
      </c>
      <c r="D35" s="17" t="s">
        <v>30</v>
      </c>
      <c r="E35" s="18" t="s">
        <v>141</v>
      </c>
      <c r="F35" s="19" t="s">
        <v>142</v>
      </c>
      <c r="G35" s="18" t="s">
        <v>143</v>
      </c>
      <c r="H35" s="47">
        <v>3</v>
      </c>
      <c r="I35" s="48" t="s">
        <v>40</v>
      </c>
      <c r="J35" s="23">
        <v>9</v>
      </c>
      <c r="K35" s="23">
        <f t="shared" si="0"/>
        <v>27</v>
      </c>
      <c r="L35" s="21">
        <v>853690</v>
      </c>
      <c r="M35" s="49" t="s">
        <v>144</v>
      </c>
      <c r="N35" s="39"/>
    </row>
    <row r="36" spans="1:14" s="33" customFormat="1" ht="30" customHeight="1">
      <c r="A36" s="46">
        <v>25</v>
      </c>
      <c r="B36" s="18" t="s">
        <v>28</v>
      </c>
      <c r="C36" s="17" t="s">
        <v>145</v>
      </c>
      <c r="D36" s="17" t="s">
        <v>30</v>
      </c>
      <c r="E36" s="18" t="s">
        <v>146</v>
      </c>
      <c r="F36" s="19" t="s">
        <v>147</v>
      </c>
      <c r="G36" s="18" t="s">
        <v>148</v>
      </c>
      <c r="H36" s="47">
        <v>3</v>
      </c>
      <c r="I36" s="48" t="s">
        <v>40</v>
      </c>
      <c r="J36" s="23">
        <v>32</v>
      </c>
      <c r="K36" s="23">
        <f t="shared" si="0"/>
        <v>96</v>
      </c>
      <c r="L36" s="21">
        <v>853710</v>
      </c>
      <c r="M36" s="49" t="s">
        <v>149</v>
      </c>
      <c r="N36" s="39"/>
    </row>
    <row r="37" spans="1:14" s="33" customFormat="1" ht="30" customHeight="1">
      <c r="A37" s="46">
        <v>26</v>
      </c>
      <c r="B37" s="18" t="s">
        <v>28</v>
      </c>
      <c r="C37" s="17" t="s">
        <v>150</v>
      </c>
      <c r="D37" s="17" t="s">
        <v>30</v>
      </c>
      <c r="E37" s="18" t="s">
        <v>151</v>
      </c>
      <c r="F37" s="19" t="s">
        <v>152</v>
      </c>
      <c r="G37" s="18" t="s">
        <v>153</v>
      </c>
      <c r="H37" s="47">
        <v>5</v>
      </c>
      <c r="I37" s="48" t="s">
        <v>40</v>
      </c>
      <c r="J37" s="23">
        <v>13</v>
      </c>
      <c r="K37" s="23">
        <f t="shared" si="0"/>
        <v>65</v>
      </c>
      <c r="L37" s="21">
        <v>853710</v>
      </c>
      <c r="M37" s="49" t="s">
        <v>154</v>
      </c>
      <c r="N37" s="39"/>
    </row>
    <row r="38" spans="1:14" s="33" customFormat="1" ht="30" customHeight="1">
      <c r="A38" s="46">
        <v>27</v>
      </c>
      <c r="B38" s="18" t="s">
        <v>28</v>
      </c>
      <c r="C38" s="17" t="s">
        <v>155</v>
      </c>
      <c r="D38" s="17" t="s">
        <v>30</v>
      </c>
      <c r="E38" s="18" t="s">
        <v>156</v>
      </c>
      <c r="F38" s="19" t="s">
        <v>157</v>
      </c>
      <c r="G38" s="18" t="s">
        <v>158</v>
      </c>
      <c r="H38" s="47">
        <v>5</v>
      </c>
      <c r="I38" s="48" t="s">
        <v>40</v>
      </c>
      <c r="J38" s="23">
        <v>15</v>
      </c>
      <c r="K38" s="23">
        <f t="shared" si="0"/>
        <v>75</v>
      </c>
      <c r="L38" s="21">
        <v>853710</v>
      </c>
      <c r="M38" s="49" t="s">
        <v>159</v>
      </c>
      <c r="N38" s="39"/>
    </row>
    <row r="39" spans="1:14" s="33" customFormat="1" ht="30" customHeight="1">
      <c r="A39" s="46">
        <v>28</v>
      </c>
      <c r="B39" s="18" t="s">
        <v>28</v>
      </c>
      <c r="C39" s="17" t="s">
        <v>160</v>
      </c>
      <c r="D39" s="17" t="s">
        <v>30</v>
      </c>
      <c r="E39" s="18" t="s">
        <v>161</v>
      </c>
      <c r="F39" s="19" t="s">
        <v>162</v>
      </c>
      <c r="G39" s="18" t="s">
        <v>163</v>
      </c>
      <c r="H39" s="47">
        <v>20</v>
      </c>
      <c r="I39" s="48" t="s">
        <v>40</v>
      </c>
      <c r="J39" s="23">
        <v>8</v>
      </c>
      <c r="K39" s="23">
        <f t="shared" si="0"/>
        <v>160</v>
      </c>
      <c r="L39" s="21">
        <v>732690</v>
      </c>
      <c r="M39" s="49" t="s">
        <v>164</v>
      </c>
      <c r="N39" s="39"/>
    </row>
    <row r="40" spans="1:14" s="33" customFormat="1" ht="30" customHeight="1">
      <c r="A40" s="46">
        <v>29</v>
      </c>
      <c r="B40" s="18" t="s">
        <v>28</v>
      </c>
      <c r="C40" s="17" t="s">
        <v>165</v>
      </c>
      <c r="D40" s="17" t="s">
        <v>30</v>
      </c>
      <c r="E40" s="18" t="s">
        <v>166</v>
      </c>
      <c r="F40" s="19">
        <v>4535004234</v>
      </c>
      <c r="G40" s="18" t="s">
        <v>167</v>
      </c>
      <c r="H40" s="47">
        <v>2</v>
      </c>
      <c r="I40" s="48" t="s">
        <v>40</v>
      </c>
      <c r="J40" s="23">
        <v>64</v>
      </c>
      <c r="K40" s="23">
        <f t="shared" si="0"/>
        <v>128</v>
      </c>
      <c r="L40" s="21">
        <v>400921</v>
      </c>
      <c r="M40" s="49" t="s">
        <v>168</v>
      </c>
      <c r="N40" s="39"/>
    </row>
    <row r="41" spans="1:14" s="33" customFormat="1" ht="30" customHeight="1">
      <c r="A41" s="46">
        <v>30</v>
      </c>
      <c r="B41" s="18" t="s">
        <v>28</v>
      </c>
      <c r="C41" s="17" t="s">
        <v>169</v>
      </c>
      <c r="D41" s="17" t="s">
        <v>30</v>
      </c>
      <c r="E41" s="18" t="s">
        <v>170</v>
      </c>
      <c r="F41" s="19" t="s">
        <v>171</v>
      </c>
      <c r="G41" s="18" t="s">
        <v>172</v>
      </c>
      <c r="H41" s="47">
        <v>2</v>
      </c>
      <c r="I41" s="48" t="s">
        <v>40</v>
      </c>
      <c r="J41" s="23">
        <v>225</v>
      </c>
      <c r="K41" s="23">
        <f t="shared" si="0"/>
        <v>450</v>
      </c>
      <c r="L41" s="21">
        <v>842131</v>
      </c>
      <c r="M41" s="49" t="s">
        <v>173</v>
      </c>
      <c r="N41" s="39"/>
    </row>
    <row r="42" spans="1:14" s="33" customFormat="1" ht="30" customHeight="1">
      <c r="A42" s="46">
        <v>31</v>
      </c>
      <c r="B42" s="18" t="s">
        <v>28</v>
      </c>
      <c r="C42" s="17" t="s">
        <v>174</v>
      </c>
      <c r="D42" s="17" t="s">
        <v>30</v>
      </c>
      <c r="E42" s="18" t="s">
        <v>175</v>
      </c>
      <c r="F42" s="19" t="s">
        <v>176</v>
      </c>
      <c r="G42" s="18" t="s">
        <v>177</v>
      </c>
      <c r="H42" s="47">
        <v>2</v>
      </c>
      <c r="I42" s="48" t="s">
        <v>40</v>
      </c>
      <c r="J42" s="23">
        <v>362</v>
      </c>
      <c r="K42" s="23">
        <f t="shared" si="0"/>
        <v>724</v>
      </c>
      <c r="L42" s="21">
        <v>732690</v>
      </c>
      <c r="M42" s="49" t="s">
        <v>178</v>
      </c>
      <c r="N42" s="39"/>
    </row>
    <row r="43" spans="1:14" s="33" customFormat="1" ht="30" customHeight="1">
      <c r="A43" s="46">
        <v>32</v>
      </c>
      <c r="B43" s="18" t="s">
        <v>28</v>
      </c>
      <c r="C43" s="17" t="s">
        <v>174</v>
      </c>
      <c r="D43" s="17" t="s">
        <v>30</v>
      </c>
      <c r="E43" s="18" t="s">
        <v>175</v>
      </c>
      <c r="F43" s="19" t="s">
        <v>179</v>
      </c>
      <c r="G43" s="18" t="s">
        <v>180</v>
      </c>
      <c r="H43" s="47">
        <v>2</v>
      </c>
      <c r="I43" s="48" t="s">
        <v>40</v>
      </c>
      <c r="J43" s="23">
        <v>404</v>
      </c>
      <c r="K43" s="23">
        <f t="shared" si="0"/>
        <v>808</v>
      </c>
      <c r="L43" s="21">
        <v>732690</v>
      </c>
      <c r="M43" s="49" t="s">
        <v>181</v>
      </c>
      <c r="N43" s="39"/>
    </row>
    <row r="44" spans="1:14" s="33" customFormat="1" ht="30" customHeight="1">
      <c r="A44" s="46">
        <v>33</v>
      </c>
      <c r="B44" s="18" t="s">
        <v>28</v>
      </c>
      <c r="C44" s="17" t="s">
        <v>182</v>
      </c>
      <c r="D44" s="17" t="s">
        <v>30</v>
      </c>
      <c r="E44" s="18" t="s">
        <v>183</v>
      </c>
      <c r="F44" s="19" t="s">
        <v>184</v>
      </c>
      <c r="G44" s="18" t="s">
        <v>185</v>
      </c>
      <c r="H44" s="47">
        <v>12</v>
      </c>
      <c r="I44" s="48" t="s">
        <v>40</v>
      </c>
      <c r="J44" s="23">
        <v>5</v>
      </c>
      <c r="K44" s="23">
        <f t="shared" si="0"/>
        <v>60</v>
      </c>
      <c r="L44" s="21">
        <v>731815</v>
      </c>
      <c r="M44" s="49" t="s">
        <v>186</v>
      </c>
      <c r="N44" s="39"/>
    </row>
    <row r="45" spans="1:14" s="33" customFormat="1" ht="30" customHeight="1">
      <c r="A45" s="46">
        <v>34</v>
      </c>
      <c r="B45" s="18" t="s">
        <v>28</v>
      </c>
      <c r="C45" s="17" t="s">
        <v>187</v>
      </c>
      <c r="D45" s="17" t="s">
        <v>30</v>
      </c>
      <c r="E45" s="18" t="s">
        <v>188</v>
      </c>
      <c r="F45" s="19" t="s">
        <v>189</v>
      </c>
      <c r="G45" s="18" t="s">
        <v>190</v>
      </c>
      <c r="H45" s="47">
        <v>20</v>
      </c>
      <c r="I45" s="48" t="s">
        <v>40</v>
      </c>
      <c r="J45" s="23">
        <v>16</v>
      </c>
      <c r="K45" s="23">
        <f t="shared" ref="K45:K76" si="1">H45*J45</f>
        <v>320</v>
      </c>
      <c r="L45" s="21">
        <v>732690</v>
      </c>
      <c r="M45" s="49" t="s">
        <v>191</v>
      </c>
      <c r="N45" s="39"/>
    </row>
    <row r="46" spans="1:14" s="33" customFormat="1" ht="30" customHeight="1">
      <c r="A46" s="46">
        <v>35</v>
      </c>
      <c r="B46" s="18" t="s">
        <v>28</v>
      </c>
      <c r="C46" s="17" t="s">
        <v>192</v>
      </c>
      <c r="D46" s="17" t="s">
        <v>30</v>
      </c>
      <c r="E46" s="18" t="s">
        <v>193</v>
      </c>
      <c r="F46" s="19" t="s">
        <v>194</v>
      </c>
      <c r="G46" s="18" t="s">
        <v>195</v>
      </c>
      <c r="H46" s="47">
        <v>10</v>
      </c>
      <c r="I46" s="48" t="s">
        <v>40</v>
      </c>
      <c r="J46" s="23">
        <v>15</v>
      </c>
      <c r="K46" s="23">
        <f t="shared" si="1"/>
        <v>150</v>
      </c>
      <c r="L46" s="21">
        <v>400941</v>
      </c>
      <c r="M46" s="49" t="s">
        <v>196</v>
      </c>
      <c r="N46" s="39"/>
    </row>
    <row r="47" spans="1:14" s="33" customFormat="1" ht="30" customHeight="1">
      <c r="A47" s="46">
        <v>36</v>
      </c>
      <c r="B47" s="18" t="s">
        <v>28</v>
      </c>
      <c r="C47" s="17" t="s">
        <v>197</v>
      </c>
      <c r="D47" s="17" t="s">
        <v>30</v>
      </c>
      <c r="E47" s="18" t="s">
        <v>198</v>
      </c>
      <c r="F47" s="19" t="s">
        <v>199</v>
      </c>
      <c r="G47" s="18" t="s">
        <v>200</v>
      </c>
      <c r="H47" s="47">
        <v>3</v>
      </c>
      <c r="I47" s="48" t="s">
        <v>40</v>
      </c>
      <c r="J47" s="23">
        <v>25</v>
      </c>
      <c r="K47" s="23">
        <f t="shared" si="1"/>
        <v>75</v>
      </c>
      <c r="L47" s="21">
        <v>848180</v>
      </c>
      <c r="M47" s="49" t="s">
        <v>201</v>
      </c>
      <c r="N47" s="39"/>
    </row>
    <row r="48" spans="1:14" s="33" customFormat="1" ht="30" customHeight="1">
      <c r="A48" s="46">
        <v>37</v>
      </c>
      <c r="B48" s="18" t="s">
        <v>28</v>
      </c>
      <c r="C48" s="17" t="s">
        <v>202</v>
      </c>
      <c r="D48" s="17" t="s">
        <v>30</v>
      </c>
      <c r="E48" s="18" t="s">
        <v>203</v>
      </c>
      <c r="F48" s="19" t="s">
        <v>204</v>
      </c>
      <c r="G48" s="18" t="s">
        <v>205</v>
      </c>
      <c r="H48" s="47">
        <v>50</v>
      </c>
      <c r="I48" s="48" t="s">
        <v>40</v>
      </c>
      <c r="J48" s="23">
        <v>14</v>
      </c>
      <c r="K48" s="23">
        <f t="shared" si="1"/>
        <v>700</v>
      </c>
      <c r="L48" s="21">
        <v>732690</v>
      </c>
      <c r="M48" s="49" t="s">
        <v>206</v>
      </c>
      <c r="N48" s="39"/>
    </row>
    <row r="49" spans="1:14" s="33" customFormat="1" ht="30" customHeight="1">
      <c r="A49" s="46">
        <v>38</v>
      </c>
      <c r="B49" s="18" t="s">
        <v>28</v>
      </c>
      <c r="C49" s="17" t="s">
        <v>207</v>
      </c>
      <c r="D49" s="17" t="s">
        <v>30</v>
      </c>
      <c r="E49" s="18" t="s">
        <v>208</v>
      </c>
      <c r="F49" s="19">
        <v>4535015390</v>
      </c>
      <c r="G49" s="18" t="s">
        <v>209</v>
      </c>
      <c r="H49" s="47">
        <v>2</v>
      </c>
      <c r="I49" s="48" t="s">
        <v>40</v>
      </c>
      <c r="J49" s="23">
        <v>494</v>
      </c>
      <c r="K49" s="23">
        <f t="shared" si="1"/>
        <v>988</v>
      </c>
      <c r="L49" s="21">
        <v>854430</v>
      </c>
      <c r="M49" s="49" t="s">
        <v>210</v>
      </c>
      <c r="N49" s="39"/>
    </row>
    <row r="50" spans="1:14" s="33" customFormat="1" ht="30" customHeight="1">
      <c r="A50" s="46">
        <v>39</v>
      </c>
      <c r="B50" s="18" t="s">
        <v>28</v>
      </c>
      <c r="C50" s="17" t="s">
        <v>211</v>
      </c>
      <c r="D50" s="17" t="s">
        <v>30</v>
      </c>
      <c r="E50" s="18" t="s">
        <v>212</v>
      </c>
      <c r="F50" s="19">
        <v>4537009506</v>
      </c>
      <c r="G50" s="18" t="s">
        <v>213</v>
      </c>
      <c r="H50" s="47">
        <v>5</v>
      </c>
      <c r="I50" s="48" t="s">
        <v>40</v>
      </c>
      <c r="J50" s="23">
        <v>137</v>
      </c>
      <c r="K50" s="23">
        <f t="shared" si="1"/>
        <v>685</v>
      </c>
      <c r="L50" s="21">
        <v>853690</v>
      </c>
      <c r="M50" s="49" t="s">
        <v>214</v>
      </c>
      <c r="N50" s="39"/>
    </row>
    <row r="51" spans="1:14" s="33" customFormat="1" ht="30" customHeight="1">
      <c r="A51" s="46">
        <v>40</v>
      </c>
      <c r="B51" s="18" t="s">
        <v>28</v>
      </c>
      <c r="C51" s="17" t="s">
        <v>215</v>
      </c>
      <c r="D51" s="17" t="s">
        <v>30</v>
      </c>
      <c r="E51" s="18" t="s">
        <v>216</v>
      </c>
      <c r="F51" s="19" t="s">
        <v>217</v>
      </c>
      <c r="G51" s="18" t="s">
        <v>218</v>
      </c>
      <c r="H51" s="47">
        <v>5</v>
      </c>
      <c r="I51" s="48" t="s">
        <v>40</v>
      </c>
      <c r="J51" s="23">
        <v>24</v>
      </c>
      <c r="K51" s="23">
        <f t="shared" si="1"/>
        <v>120</v>
      </c>
      <c r="L51" s="21">
        <v>853710</v>
      </c>
      <c r="M51" s="49" t="s">
        <v>219</v>
      </c>
      <c r="N51" s="39"/>
    </row>
    <row r="52" spans="1:14" s="33" customFormat="1" ht="30" customHeight="1">
      <c r="A52" s="46">
        <v>41</v>
      </c>
      <c r="B52" s="18" t="s">
        <v>28</v>
      </c>
      <c r="C52" s="17" t="s">
        <v>215</v>
      </c>
      <c r="D52" s="17" t="s">
        <v>30</v>
      </c>
      <c r="E52" s="18" t="s">
        <v>220</v>
      </c>
      <c r="F52" s="19" t="s">
        <v>221</v>
      </c>
      <c r="G52" s="18" t="s">
        <v>222</v>
      </c>
      <c r="H52" s="47">
        <v>5</v>
      </c>
      <c r="I52" s="48" t="s">
        <v>40</v>
      </c>
      <c r="J52" s="23">
        <v>31</v>
      </c>
      <c r="K52" s="23">
        <f t="shared" si="1"/>
        <v>155</v>
      </c>
      <c r="L52" s="21">
        <v>853710</v>
      </c>
      <c r="M52" s="49" t="s">
        <v>223</v>
      </c>
      <c r="N52" s="39"/>
    </row>
    <row r="53" spans="1:14" s="33" customFormat="1" ht="30" customHeight="1">
      <c r="A53" s="46">
        <v>42</v>
      </c>
      <c r="B53" s="18" t="s">
        <v>28</v>
      </c>
      <c r="C53" s="17" t="s">
        <v>224</v>
      </c>
      <c r="D53" s="17" t="s">
        <v>30</v>
      </c>
      <c r="E53" s="18" t="s">
        <v>225</v>
      </c>
      <c r="F53" s="19" t="s">
        <v>226</v>
      </c>
      <c r="G53" s="18" t="s">
        <v>227</v>
      </c>
      <c r="H53" s="47">
        <v>2</v>
      </c>
      <c r="I53" s="48" t="s">
        <v>40</v>
      </c>
      <c r="J53" s="23">
        <v>483</v>
      </c>
      <c r="K53" s="23">
        <f t="shared" si="1"/>
        <v>966</v>
      </c>
      <c r="L53" s="21">
        <v>870850</v>
      </c>
      <c r="M53" s="49" t="s">
        <v>228</v>
      </c>
      <c r="N53" s="39"/>
    </row>
    <row r="54" spans="1:14" s="33" customFormat="1" ht="30" customHeight="1">
      <c r="A54" s="46">
        <v>43</v>
      </c>
      <c r="B54" s="18" t="s">
        <v>28</v>
      </c>
      <c r="C54" s="17" t="s">
        <v>229</v>
      </c>
      <c r="D54" s="17" t="s">
        <v>30</v>
      </c>
      <c r="E54" s="18" t="s">
        <v>230</v>
      </c>
      <c r="F54" s="19" t="s">
        <v>231</v>
      </c>
      <c r="G54" s="18" t="s">
        <v>232</v>
      </c>
      <c r="H54" s="47">
        <v>2</v>
      </c>
      <c r="I54" s="48" t="s">
        <v>40</v>
      </c>
      <c r="J54" s="23">
        <v>145</v>
      </c>
      <c r="K54" s="23">
        <f t="shared" si="1"/>
        <v>290</v>
      </c>
      <c r="L54" s="21">
        <v>850110</v>
      </c>
      <c r="M54" s="49" t="s">
        <v>233</v>
      </c>
      <c r="N54" s="39"/>
    </row>
    <row r="55" spans="1:14" s="33" customFormat="1" ht="30" customHeight="1">
      <c r="A55" s="46">
        <v>44</v>
      </c>
      <c r="B55" s="18" t="s">
        <v>28</v>
      </c>
      <c r="C55" s="17" t="s">
        <v>234</v>
      </c>
      <c r="D55" s="17" t="s">
        <v>30</v>
      </c>
      <c r="E55" s="18" t="s">
        <v>235</v>
      </c>
      <c r="F55" s="19" t="s">
        <v>236</v>
      </c>
      <c r="G55" s="18" t="s">
        <v>237</v>
      </c>
      <c r="H55" s="47">
        <v>4</v>
      </c>
      <c r="I55" s="48" t="s">
        <v>40</v>
      </c>
      <c r="J55" s="23">
        <v>44</v>
      </c>
      <c r="K55" s="23">
        <f t="shared" si="1"/>
        <v>176</v>
      </c>
      <c r="L55" s="21">
        <v>732690</v>
      </c>
      <c r="M55" s="49" t="s">
        <v>238</v>
      </c>
      <c r="N55" s="39"/>
    </row>
    <row r="56" spans="1:14" s="33" customFormat="1" ht="30" customHeight="1">
      <c r="A56" s="46">
        <v>45</v>
      </c>
      <c r="B56" s="18" t="s">
        <v>28</v>
      </c>
      <c r="C56" s="17" t="s">
        <v>239</v>
      </c>
      <c r="D56" s="17" t="s">
        <v>30</v>
      </c>
      <c r="E56" s="18" t="s">
        <v>240</v>
      </c>
      <c r="F56" s="19" t="s">
        <v>241</v>
      </c>
      <c r="G56" s="18" t="s">
        <v>242</v>
      </c>
      <c r="H56" s="47">
        <v>4</v>
      </c>
      <c r="I56" s="48" t="s">
        <v>40</v>
      </c>
      <c r="J56" s="23">
        <v>44</v>
      </c>
      <c r="K56" s="23">
        <f t="shared" si="1"/>
        <v>176</v>
      </c>
      <c r="L56" s="21">
        <v>732690</v>
      </c>
      <c r="M56" s="49" t="s">
        <v>243</v>
      </c>
      <c r="N56" s="39"/>
    </row>
    <row r="57" spans="1:14" s="33" customFormat="1" ht="30" customHeight="1">
      <c r="A57" s="46">
        <v>46</v>
      </c>
      <c r="B57" s="18" t="s">
        <v>28</v>
      </c>
      <c r="C57" s="17" t="s">
        <v>244</v>
      </c>
      <c r="D57" s="17" t="s">
        <v>30</v>
      </c>
      <c r="E57" s="18" t="s">
        <v>245</v>
      </c>
      <c r="F57" s="19" t="s">
        <v>246</v>
      </c>
      <c r="G57" s="18" t="s">
        <v>247</v>
      </c>
      <c r="H57" s="47">
        <v>2</v>
      </c>
      <c r="I57" s="48" t="s">
        <v>40</v>
      </c>
      <c r="J57" s="23">
        <v>64</v>
      </c>
      <c r="K57" s="23">
        <f t="shared" si="1"/>
        <v>128</v>
      </c>
      <c r="L57" s="21">
        <v>851290</v>
      </c>
      <c r="M57" s="49" t="s">
        <v>248</v>
      </c>
      <c r="N57" s="39"/>
    </row>
    <row r="58" spans="1:14" s="33" customFormat="1" ht="30" customHeight="1">
      <c r="A58" s="46">
        <v>47</v>
      </c>
      <c r="B58" s="18" t="s">
        <v>28</v>
      </c>
      <c r="C58" s="17" t="s">
        <v>249</v>
      </c>
      <c r="D58" s="17" t="s">
        <v>30</v>
      </c>
      <c r="E58" s="18" t="s">
        <v>250</v>
      </c>
      <c r="F58" s="19" t="s">
        <v>251</v>
      </c>
      <c r="G58" s="18" t="s">
        <v>252</v>
      </c>
      <c r="H58" s="47">
        <v>12</v>
      </c>
      <c r="I58" s="48" t="s">
        <v>40</v>
      </c>
      <c r="J58" s="23">
        <v>65</v>
      </c>
      <c r="K58" s="23">
        <f t="shared" si="1"/>
        <v>780</v>
      </c>
      <c r="L58" s="21">
        <v>870850</v>
      </c>
      <c r="M58" s="49" t="s">
        <v>253</v>
      </c>
      <c r="N58" s="39"/>
    </row>
    <row r="59" spans="1:14" s="33" customFormat="1" ht="30" customHeight="1">
      <c r="A59" s="46">
        <v>48</v>
      </c>
      <c r="B59" s="18" t="s">
        <v>28</v>
      </c>
      <c r="C59" s="17" t="s">
        <v>254</v>
      </c>
      <c r="D59" s="17" t="s">
        <v>30</v>
      </c>
      <c r="E59" s="18" t="s">
        <v>255</v>
      </c>
      <c r="F59" s="19">
        <v>4529001112</v>
      </c>
      <c r="G59" s="18" t="s">
        <v>256</v>
      </c>
      <c r="H59" s="47">
        <v>6</v>
      </c>
      <c r="I59" s="48" t="s">
        <v>40</v>
      </c>
      <c r="J59" s="23">
        <v>68</v>
      </c>
      <c r="K59" s="23">
        <f t="shared" si="1"/>
        <v>408</v>
      </c>
      <c r="L59" s="21">
        <v>731822</v>
      </c>
      <c r="M59" s="49" t="s">
        <v>257</v>
      </c>
      <c r="N59" s="39"/>
    </row>
    <row r="60" spans="1:14" s="33" customFormat="1" ht="30" customHeight="1">
      <c r="A60" s="46">
        <v>49</v>
      </c>
      <c r="B60" s="18" t="s">
        <v>28</v>
      </c>
      <c r="C60" s="17" t="s">
        <v>258</v>
      </c>
      <c r="D60" s="17" t="s">
        <v>43</v>
      </c>
      <c r="E60" s="18" t="s">
        <v>259</v>
      </c>
      <c r="F60" s="19" t="s">
        <v>260</v>
      </c>
      <c r="G60" s="18" t="s">
        <v>261</v>
      </c>
      <c r="H60" s="47">
        <v>4</v>
      </c>
      <c r="I60" s="48" t="s">
        <v>40</v>
      </c>
      <c r="J60" s="23">
        <v>115</v>
      </c>
      <c r="K60" s="23">
        <f t="shared" si="1"/>
        <v>460</v>
      </c>
      <c r="L60" s="21">
        <v>401699</v>
      </c>
      <c r="M60" s="49" t="s">
        <v>262</v>
      </c>
      <c r="N60" s="39"/>
    </row>
    <row r="61" spans="1:14" s="33" customFormat="1" ht="30" customHeight="1">
      <c r="A61" s="46">
        <v>50</v>
      </c>
      <c r="B61" s="18" t="s">
        <v>28</v>
      </c>
      <c r="C61" s="17" t="s">
        <v>263</v>
      </c>
      <c r="D61" s="17" t="s">
        <v>30</v>
      </c>
      <c r="E61" s="18" t="s">
        <v>264</v>
      </c>
      <c r="F61" s="19" t="s">
        <v>265</v>
      </c>
      <c r="G61" s="18" t="s">
        <v>266</v>
      </c>
      <c r="H61" s="47">
        <v>20</v>
      </c>
      <c r="I61" s="48" t="s">
        <v>40</v>
      </c>
      <c r="J61" s="23">
        <v>4</v>
      </c>
      <c r="K61" s="23">
        <f t="shared" si="1"/>
        <v>80</v>
      </c>
      <c r="L61" s="21">
        <v>732690</v>
      </c>
      <c r="M61" s="49" t="s">
        <v>267</v>
      </c>
      <c r="N61" s="39"/>
    </row>
    <row r="62" spans="1:14" s="33" customFormat="1" ht="30" customHeight="1">
      <c r="A62" s="46">
        <v>51</v>
      </c>
      <c r="B62" s="18" t="s">
        <v>28</v>
      </c>
      <c r="C62" s="17" t="s">
        <v>268</v>
      </c>
      <c r="D62" s="17" t="s">
        <v>30</v>
      </c>
      <c r="E62" s="18" t="s">
        <v>269</v>
      </c>
      <c r="F62" s="19" t="s">
        <v>270</v>
      </c>
      <c r="G62" s="18" t="s">
        <v>271</v>
      </c>
      <c r="H62" s="47">
        <v>4</v>
      </c>
      <c r="I62" s="48" t="s">
        <v>40</v>
      </c>
      <c r="J62" s="23">
        <v>152</v>
      </c>
      <c r="K62" s="23">
        <f t="shared" si="1"/>
        <v>608</v>
      </c>
      <c r="L62" s="21">
        <v>732010</v>
      </c>
      <c r="M62" s="49" t="s">
        <v>272</v>
      </c>
      <c r="N62" s="39"/>
    </row>
    <row r="63" spans="1:14" s="33" customFormat="1" ht="30" customHeight="1">
      <c r="A63" s="46">
        <v>52</v>
      </c>
      <c r="B63" s="18" t="s">
        <v>28</v>
      </c>
      <c r="C63" s="17" t="s">
        <v>273</v>
      </c>
      <c r="D63" s="17" t="s">
        <v>30</v>
      </c>
      <c r="E63" s="18" t="s">
        <v>274</v>
      </c>
      <c r="F63" s="19" t="s">
        <v>275</v>
      </c>
      <c r="G63" s="18" t="s">
        <v>276</v>
      </c>
      <c r="H63" s="47">
        <v>4</v>
      </c>
      <c r="I63" s="48" t="s">
        <v>40</v>
      </c>
      <c r="J63" s="23">
        <v>142</v>
      </c>
      <c r="K63" s="23">
        <f t="shared" si="1"/>
        <v>568</v>
      </c>
      <c r="L63" s="21">
        <v>870850</v>
      </c>
      <c r="M63" s="49" t="s">
        <v>277</v>
      </c>
      <c r="N63" s="39"/>
    </row>
    <row r="64" spans="1:14" s="33" customFormat="1" ht="30" customHeight="1">
      <c r="A64" s="46">
        <v>53</v>
      </c>
      <c r="B64" s="18" t="s">
        <v>28</v>
      </c>
      <c r="C64" s="17" t="s">
        <v>278</v>
      </c>
      <c r="D64" s="17" t="s">
        <v>279</v>
      </c>
      <c r="E64" s="18" t="s">
        <v>280</v>
      </c>
      <c r="F64" s="19" t="s">
        <v>281</v>
      </c>
      <c r="G64" s="18" t="s">
        <v>282</v>
      </c>
      <c r="H64" s="47">
        <v>5</v>
      </c>
      <c r="I64" s="48" t="s">
        <v>40</v>
      </c>
      <c r="J64" s="23">
        <v>472</v>
      </c>
      <c r="K64" s="23">
        <f t="shared" si="1"/>
        <v>2360</v>
      </c>
      <c r="L64" s="21">
        <v>700992</v>
      </c>
      <c r="M64" s="49" t="s">
        <v>283</v>
      </c>
      <c r="N64" s="39"/>
    </row>
    <row r="65" spans="1:14" s="33" customFormat="1" ht="30" customHeight="1">
      <c r="A65" s="46">
        <v>54</v>
      </c>
      <c r="B65" s="18" t="s">
        <v>28</v>
      </c>
      <c r="C65" s="17" t="s">
        <v>284</v>
      </c>
      <c r="D65" s="17" t="s">
        <v>43</v>
      </c>
      <c r="E65" s="18" t="s">
        <v>285</v>
      </c>
      <c r="F65" s="19" t="s">
        <v>286</v>
      </c>
      <c r="G65" s="18" t="s">
        <v>287</v>
      </c>
      <c r="H65" s="47">
        <v>5</v>
      </c>
      <c r="I65" s="48" t="s">
        <v>40</v>
      </c>
      <c r="J65" s="23">
        <v>138</v>
      </c>
      <c r="K65" s="23">
        <f t="shared" si="1"/>
        <v>690</v>
      </c>
      <c r="L65" s="21">
        <v>401699</v>
      </c>
      <c r="M65" s="49" t="s">
        <v>288</v>
      </c>
      <c r="N65" s="39"/>
    </row>
    <row r="66" spans="1:14" s="33" customFormat="1" ht="30" customHeight="1">
      <c r="A66" s="46">
        <v>55</v>
      </c>
      <c r="B66" s="18" t="s">
        <v>28</v>
      </c>
      <c r="C66" s="17" t="s">
        <v>289</v>
      </c>
      <c r="D66" s="17" t="s">
        <v>30</v>
      </c>
      <c r="E66" s="18" t="s">
        <v>290</v>
      </c>
      <c r="F66" s="19">
        <v>452909508</v>
      </c>
      <c r="G66" s="18" t="s">
        <v>291</v>
      </c>
      <c r="H66" s="47">
        <v>4</v>
      </c>
      <c r="I66" s="48" t="s">
        <v>40</v>
      </c>
      <c r="J66" s="23">
        <v>90</v>
      </c>
      <c r="K66" s="23">
        <f t="shared" si="1"/>
        <v>360</v>
      </c>
      <c r="L66" s="21">
        <v>870880</v>
      </c>
      <c r="M66" s="49" t="s">
        <v>292</v>
      </c>
      <c r="N66" s="39"/>
    </row>
    <row r="67" spans="1:14" s="33" customFormat="1" ht="30" customHeight="1">
      <c r="A67" s="46">
        <v>56</v>
      </c>
      <c r="B67" s="18" t="s">
        <v>28</v>
      </c>
      <c r="C67" s="17" t="s">
        <v>293</v>
      </c>
      <c r="D67" s="17" t="s">
        <v>30</v>
      </c>
      <c r="E67" s="18" t="s">
        <v>294</v>
      </c>
      <c r="F67" s="19" t="s">
        <v>295</v>
      </c>
      <c r="G67" s="18" t="s">
        <v>296</v>
      </c>
      <c r="H67" s="47">
        <v>4</v>
      </c>
      <c r="I67" s="48" t="s">
        <v>40</v>
      </c>
      <c r="J67" s="23">
        <v>93</v>
      </c>
      <c r="K67" s="23">
        <f t="shared" si="1"/>
        <v>372</v>
      </c>
      <c r="L67" s="21">
        <v>870850</v>
      </c>
      <c r="M67" s="49" t="s">
        <v>297</v>
      </c>
      <c r="N67" s="39"/>
    </row>
    <row r="68" spans="1:14" s="33" customFormat="1" ht="30" customHeight="1">
      <c r="A68" s="46">
        <v>57</v>
      </c>
      <c r="B68" s="18" t="s">
        <v>28</v>
      </c>
      <c r="C68" s="17" t="s">
        <v>298</v>
      </c>
      <c r="D68" s="17" t="s">
        <v>30</v>
      </c>
      <c r="E68" s="18" t="s">
        <v>299</v>
      </c>
      <c r="F68" s="19" t="s">
        <v>300</v>
      </c>
      <c r="G68" s="18" t="s">
        <v>301</v>
      </c>
      <c r="H68" s="47">
        <v>16</v>
      </c>
      <c r="I68" s="48" t="s">
        <v>40</v>
      </c>
      <c r="J68" s="23">
        <v>5</v>
      </c>
      <c r="K68" s="23">
        <f t="shared" si="1"/>
        <v>80</v>
      </c>
      <c r="L68" s="21">
        <v>731822</v>
      </c>
      <c r="M68" s="49" t="s">
        <v>302</v>
      </c>
      <c r="N68" s="39"/>
    </row>
    <row r="69" spans="1:14" s="33" customFormat="1" ht="30" customHeight="1">
      <c r="A69" s="46">
        <v>58</v>
      </c>
      <c r="B69" s="18" t="s">
        <v>28</v>
      </c>
      <c r="C69" s="17" t="s">
        <v>303</v>
      </c>
      <c r="D69" s="17" t="s">
        <v>30</v>
      </c>
      <c r="E69" s="18" t="s">
        <v>304</v>
      </c>
      <c r="F69" s="19" t="s">
        <v>305</v>
      </c>
      <c r="G69" s="18" t="s">
        <v>306</v>
      </c>
      <c r="H69" s="47">
        <v>4</v>
      </c>
      <c r="I69" s="48" t="s">
        <v>40</v>
      </c>
      <c r="J69" s="23">
        <v>24</v>
      </c>
      <c r="K69" s="23">
        <f t="shared" si="1"/>
        <v>96</v>
      </c>
      <c r="L69" s="21">
        <v>731824</v>
      </c>
      <c r="M69" s="49" t="s">
        <v>307</v>
      </c>
      <c r="N69" s="39"/>
    </row>
    <row r="70" spans="1:14" s="33" customFormat="1" ht="30" customHeight="1">
      <c r="A70" s="46">
        <v>59</v>
      </c>
      <c r="B70" s="18" t="s">
        <v>28</v>
      </c>
      <c r="C70" s="17" t="s">
        <v>308</v>
      </c>
      <c r="D70" s="17" t="s">
        <v>30</v>
      </c>
      <c r="E70" s="18" t="s">
        <v>309</v>
      </c>
      <c r="F70" s="19">
        <v>452909507</v>
      </c>
      <c r="G70" s="18" t="s">
        <v>310</v>
      </c>
      <c r="H70" s="47">
        <v>4</v>
      </c>
      <c r="I70" s="48" t="s">
        <v>40</v>
      </c>
      <c r="J70" s="23">
        <v>102</v>
      </c>
      <c r="K70" s="23">
        <f t="shared" si="1"/>
        <v>408</v>
      </c>
      <c r="L70" s="21">
        <v>870850</v>
      </c>
      <c r="M70" s="49" t="s">
        <v>311</v>
      </c>
      <c r="N70" s="39"/>
    </row>
    <row r="71" spans="1:14" s="33" customFormat="1" ht="30" customHeight="1">
      <c r="A71" s="46">
        <v>60</v>
      </c>
      <c r="B71" s="18" t="s">
        <v>28</v>
      </c>
      <c r="C71" s="17" t="s">
        <v>303</v>
      </c>
      <c r="D71" s="17" t="s">
        <v>30</v>
      </c>
      <c r="E71" s="18" t="s">
        <v>312</v>
      </c>
      <c r="F71" s="19" t="s">
        <v>313</v>
      </c>
      <c r="G71" s="18" t="s">
        <v>314</v>
      </c>
      <c r="H71" s="47">
        <v>6</v>
      </c>
      <c r="I71" s="48" t="s">
        <v>40</v>
      </c>
      <c r="J71" s="23">
        <v>24</v>
      </c>
      <c r="K71" s="23">
        <f t="shared" si="1"/>
        <v>144</v>
      </c>
      <c r="L71" s="21">
        <v>731824</v>
      </c>
      <c r="M71" s="49" t="s">
        <v>315</v>
      </c>
      <c r="N71" s="39"/>
    </row>
    <row r="72" spans="1:14" s="33" customFormat="1" ht="30" customHeight="1">
      <c r="A72" s="46">
        <v>61</v>
      </c>
      <c r="B72" s="18" t="s">
        <v>28</v>
      </c>
      <c r="C72" s="17" t="s">
        <v>316</v>
      </c>
      <c r="D72" s="17" t="s">
        <v>30</v>
      </c>
      <c r="E72" s="18" t="s">
        <v>317</v>
      </c>
      <c r="F72" s="19" t="s">
        <v>318</v>
      </c>
      <c r="G72" s="18" t="s">
        <v>319</v>
      </c>
      <c r="H72" s="47">
        <v>10</v>
      </c>
      <c r="I72" s="48" t="s">
        <v>40</v>
      </c>
      <c r="J72" s="23">
        <v>11</v>
      </c>
      <c r="K72" s="23">
        <f t="shared" si="1"/>
        <v>110</v>
      </c>
      <c r="L72" s="21">
        <v>731815</v>
      </c>
      <c r="M72" s="49" t="s">
        <v>320</v>
      </c>
      <c r="N72" s="39"/>
    </row>
    <row r="73" spans="1:14" s="33" customFormat="1" ht="30" customHeight="1">
      <c r="A73" s="46">
        <v>62</v>
      </c>
      <c r="B73" s="18" t="s">
        <v>28</v>
      </c>
      <c r="C73" s="17" t="s">
        <v>321</v>
      </c>
      <c r="D73" s="17" t="s">
        <v>30</v>
      </c>
      <c r="E73" s="18" t="s">
        <v>322</v>
      </c>
      <c r="F73" s="19" t="s">
        <v>323</v>
      </c>
      <c r="G73" s="18" t="s">
        <v>324</v>
      </c>
      <c r="H73" s="47">
        <v>5</v>
      </c>
      <c r="I73" s="48" t="s">
        <v>40</v>
      </c>
      <c r="J73" s="23">
        <v>16</v>
      </c>
      <c r="K73" s="23">
        <f t="shared" si="1"/>
        <v>80</v>
      </c>
      <c r="L73" s="21">
        <v>870850</v>
      </c>
      <c r="M73" s="49" t="s">
        <v>325</v>
      </c>
      <c r="N73" s="39"/>
    </row>
    <row r="74" spans="1:14" s="33" customFormat="1" ht="30" customHeight="1">
      <c r="A74" s="46">
        <v>63</v>
      </c>
      <c r="B74" s="18" t="s">
        <v>28</v>
      </c>
      <c r="C74" s="17" t="s">
        <v>326</v>
      </c>
      <c r="D74" s="17" t="s">
        <v>30</v>
      </c>
      <c r="E74" s="18" t="s">
        <v>327</v>
      </c>
      <c r="F74" s="19" t="s">
        <v>328</v>
      </c>
      <c r="G74" s="18" t="s">
        <v>329</v>
      </c>
      <c r="H74" s="47">
        <v>1</v>
      </c>
      <c r="I74" s="48" t="s">
        <v>34</v>
      </c>
      <c r="J74" s="23">
        <v>3096</v>
      </c>
      <c r="K74" s="23">
        <f t="shared" si="1"/>
        <v>3096</v>
      </c>
      <c r="L74" s="21">
        <v>853720</v>
      </c>
      <c r="M74" s="49" t="s">
        <v>330</v>
      </c>
      <c r="N74" s="39"/>
    </row>
    <row r="75" spans="1:14" s="33" customFormat="1" ht="30" customHeight="1">
      <c r="A75" s="46">
        <v>64</v>
      </c>
      <c r="B75" s="18" t="s">
        <v>28</v>
      </c>
      <c r="C75" s="17" t="s">
        <v>331</v>
      </c>
      <c r="D75" s="17" t="s">
        <v>30</v>
      </c>
      <c r="E75" s="18" t="s">
        <v>332</v>
      </c>
      <c r="F75" s="19" t="s">
        <v>333</v>
      </c>
      <c r="G75" s="18" t="s">
        <v>334</v>
      </c>
      <c r="H75" s="47">
        <v>2</v>
      </c>
      <c r="I75" s="48" t="s">
        <v>40</v>
      </c>
      <c r="J75" s="23">
        <v>228</v>
      </c>
      <c r="K75" s="23">
        <f t="shared" si="1"/>
        <v>456</v>
      </c>
      <c r="L75" s="21">
        <v>853690</v>
      </c>
      <c r="M75" s="49" t="s">
        <v>335</v>
      </c>
      <c r="N75" s="39"/>
    </row>
    <row r="76" spans="1:14" s="33" customFormat="1" ht="30" customHeight="1">
      <c r="A76" s="46">
        <v>65</v>
      </c>
      <c r="B76" s="18" t="s">
        <v>28</v>
      </c>
      <c r="C76" s="17" t="s">
        <v>336</v>
      </c>
      <c r="D76" s="17" t="s">
        <v>30</v>
      </c>
      <c r="E76" s="18" t="s">
        <v>337</v>
      </c>
      <c r="F76" s="19" t="s">
        <v>338</v>
      </c>
      <c r="G76" s="18" t="s">
        <v>339</v>
      </c>
      <c r="H76" s="47">
        <v>2</v>
      </c>
      <c r="I76" s="48" t="s">
        <v>40</v>
      </c>
      <c r="J76" s="23">
        <v>101</v>
      </c>
      <c r="K76" s="23">
        <f t="shared" si="1"/>
        <v>202</v>
      </c>
      <c r="L76" s="21">
        <v>401699</v>
      </c>
      <c r="M76" s="49" t="s">
        <v>340</v>
      </c>
      <c r="N76" s="39"/>
    </row>
    <row r="77" spans="1:14" s="33" customFormat="1" ht="30" customHeight="1">
      <c r="A77" s="46">
        <v>66</v>
      </c>
      <c r="B77" s="18" t="s">
        <v>28</v>
      </c>
      <c r="C77" s="17" t="s">
        <v>341</v>
      </c>
      <c r="D77" s="17" t="s">
        <v>30</v>
      </c>
      <c r="E77" s="18" t="s">
        <v>342</v>
      </c>
      <c r="F77" s="19" t="s">
        <v>343</v>
      </c>
      <c r="G77" s="18" t="s">
        <v>344</v>
      </c>
      <c r="H77" s="47">
        <v>1</v>
      </c>
      <c r="I77" s="48" t="s">
        <v>34</v>
      </c>
      <c r="J77" s="23">
        <v>102</v>
      </c>
      <c r="K77" s="23">
        <f t="shared" ref="K77:K108" si="2">H77*J77</f>
        <v>102</v>
      </c>
      <c r="L77" s="21">
        <v>401699</v>
      </c>
      <c r="M77" s="49" t="s">
        <v>345</v>
      </c>
      <c r="N77" s="39"/>
    </row>
    <row r="78" spans="1:14" s="33" customFormat="1" ht="30" customHeight="1">
      <c r="A78" s="46">
        <v>67</v>
      </c>
      <c r="B78" s="18" t="s">
        <v>28</v>
      </c>
      <c r="C78" s="17" t="s">
        <v>346</v>
      </c>
      <c r="D78" s="17" t="s">
        <v>30</v>
      </c>
      <c r="E78" s="18" t="s">
        <v>347</v>
      </c>
      <c r="F78" s="19" t="s">
        <v>348</v>
      </c>
      <c r="G78" s="18" t="s">
        <v>349</v>
      </c>
      <c r="H78" s="47">
        <v>5</v>
      </c>
      <c r="I78" s="48" t="s">
        <v>40</v>
      </c>
      <c r="J78" s="23">
        <v>42</v>
      </c>
      <c r="K78" s="23">
        <f t="shared" si="2"/>
        <v>210</v>
      </c>
      <c r="L78" s="21">
        <v>853690</v>
      </c>
      <c r="M78" s="49" t="s">
        <v>350</v>
      </c>
      <c r="N78" s="39"/>
    </row>
    <row r="79" spans="1:14" s="33" customFormat="1" ht="30" customHeight="1">
      <c r="A79" s="46">
        <v>68</v>
      </c>
      <c r="B79" s="18" t="s">
        <v>28</v>
      </c>
      <c r="C79" s="17" t="s">
        <v>351</v>
      </c>
      <c r="D79" s="17" t="s">
        <v>30</v>
      </c>
      <c r="E79" s="18" t="s">
        <v>352</v>
      </c>
      <c r="F79" s="19" t="s">
        <v>353</v>
      </c>
      <c r="G79" s="18" t="s">
        <v>354</v>
      </c>
      <c r="H79" s="47">
        <v>5</v>
      </c>
      <c r="I79" s="48" t="s">
        <v>40</v>
      </c>
      <c r="J79" s="23">
        <v>41</v>
      </c>
      <c r="K79" s="23">
        <f t="shared" si="2"/>
        <v>205</v>
      </c>
      <c r="L79" s="21">
        <v>853690</v>
      </c>
      <c r="M79" s="49" t="s">
        <v>355</v>
      </c>
      <c r="N79" s="39"/>
    </row>
    <row r="80" spans="1:14" s="33" customFormat="1" ht="30" customHeight="1">
      <c r="A80" s="46">
        <v>69</v>
      </c>
      <c r="B80" s="18" t="s">
        <v>28</v>
      </c>
      <c r="C80" s="17" t="s">
        <v>356</v>
      </c>
      <c r="D80" s="17" t="s">
        <v>30</v>
      </c>
      <c r="E80" s="18" t="s">
        <v>357</v>
      </c>
      <c r="F80" s="19" t="s">
        <v>358</v>
      </c>
      <c r="G80" s="18" t="s">
        <v>359</v>
      </c>
      <c r="H80" s="47">
        <v>5</v>
      </c>
      <c r="I80" s="48" t="s">
        <v>40</v>
      </c>
      <c r="J80" s="23">
        <v>40</v>
      </c>
      <c r="K80" s="23">
        <f t="shared" si="2"/>
        <v>200</v>
      </c>
      <c r="L80" s="21">
        <v>853690</v>
      </c>
      <c r="M80" s="49" t="s">
        <v>360</v>
      </c>
      <c r="N80" s="39"/>
    </row>
    <row r="81" spans="1:14" s="33" customFormat="1" ht="30" customHeight="1">
      <c r="A81" s="46">
        <v>70</v>
      </c>
      <c r="B81" s="18" t="s">
        <v>28</v>
      </c>
      <c r="C81" s="17" t="s">
        <v>361</v>
      </c>
      <c r="D81" s="17" t="s">
        <v>30</v>
      </c>
      <c r="E81" s="18" t="s">
        <v>362</v>
      </c>
      <c r="F81" s="19" t="s">
        <v>363</v>
      </c>
      <c r="G81" s="18" t="s">
        <v>364</v>
      </c>
      <c r="H81" s="47">
        <v>5</v>
      </c>
      <c r="I81" s="48" t="s">
        <v>40</v>
      </c>
      <c r="J81" s="23">
        <v>41</v>
      </c>
      <c r="K81" s="23">
        <f t="shared" si="2"/>
        <v>205</v>
      </c>
      <c r="L81" s="21">
        <v>853690</v>
      </c>
      <c r="M81" s="49" t="s">
        <v>365</v>
      </c>
      <c r="N81" s="39"/>
    </row>
    <row r="82" spans="1:14" s="33" customFormat="1" ht="30" customHeight="1">
      <c r="A82" s="46">
        <v>71</v>
      </c>
      <c r="B82" s="18" t="s">
        <v>28</v>
      </c>
      <c r="C82" s="17" t="s">
        <v>366</v>
      </c>
      <c r="D82" s="17" t="s">
        <v>30</v>
      </c>
      <c r="E82" s="18" t="s">
        <v>367</v>
      </c>
      <c r="F82" s="19" t="s">
        <v>368</v>
      </c>
      <c r="G82" s="18" t="s">
        <v>369</v>
      </c>
      <c r="H82" s="47">
        <v>5</v>
      </c>
      <c r="I82" s="48" t="s">
        <v>40</v>
      </c>
      <c r="J82" s="23">
        <v>252</v>
      </c>
      <c r="K82" s="23">
        <f t="shared" si="2"/>
        <v>1260</v>
      </c>
      <c r="L82" s="21">
        <v>853690</v>
      </c>
      <c r="M82" s="49" t="s">
        <v>370</v>
      </c>
      <c r="N82" s="39"/>
    </row>
    <row r="83" spans="1:14" s="33" customFormat="1" ht="30" customHeight="1">
      <c r="A83" s="46">
        <v>72</v>
      </c>
      <c r="B83" s="18" t="s">
        <v>28</v>
      </c>
      <c r="C83" s="17" t="s">
        <v>371</v>
      </c>
      <c r="D83" s="17" t="s">
        <v>30</v>
      </c>
      <c r="E83" s="18" t="s">
        <v>372</v>
      </c>
      <c r="F83" s="19" t="s">
        <v>373</v>
      </c>
      <c r="G83" s="18" t="s">
        <v>374</v>
      </c>
      <c r="H83" s="47">
        <v>2</v>
      </c>
      <c r="I83" s="48" t="s">
        <v>40</v>
      </c>
      <c r="J83" s="23">
        <v>154</v>
      </c>
      <c r="K83" s="23">
        <f t="shared" si="2"/>
        <v>308</v>
      </c>
      <c r="L83" s="21">
        <v>853690</v>
      </c>
      <c r="M83" s="49" t="s">
        <v>375</v>
      </c>
      <c r="N83" s="39"/>
    </row>
    <row r="84" spans="1:14" s="33" customFormat="1" ht="30" customHeight="1">
      <c r="A84" s="46">
        <v>73</v>
      </c>
      <c r="B84" s="18" t="s">
        <v>28</v>
      </c>
      <c r="C84" s="17" t="s">
        <v>376</v>
      </c>
      <c r="D84" s="17" t="s">
        <v>30</v>
      </c>
      <c r="E84" s="18" t="s">
        <v>377</v>
      </c>
      <c r="F84" s="19" t="s">
        <v>378</v>
      </c>
      <c r="G84" s="18" t="s">
        <v>379</v>
      </c>
      <c r="H84" s="47">
        <v>2</v>
      </c>
      <c r="I84" s="48" t="s">
        <v>40</v>
      </c>
      <c r="J84" s="23">
        <v>170</v>
      </c>
      <c r="K84" s="23">
        <f t="shared" si="2"/>
        <v>340</v>
      </c>
      <c r="L84" s="21">
        <v>853690</v>
      </c>
      <c r="M84" s="49" t="s">
        <v>380</v>
      </c>
      <c r="N84" s="39"/>
    </row>
    <row r="85" spans="1:14" s="33" customFormat="1" ht="30" customHeight="1">
      <c r="A85" s="46">
        <v>74</v>
      </c>
      <c r="B85" s="18" t="s">
        <v>28</v>
      </c>
      <c r="C85" s="17" t="s">
        <v>381</v>
      </c>
      <c r="D85" s="17" t="s">
        <v>30</v>
      </c>
      <c r="E85" s="18" t="s">
        <v>382</v>
      </c>
      <c r="F85" s="19" t="s">
        <v>383</v>
      </c>
      <c r="G85" s="18" t="s">
        <v>384</v>
      </c>
      <c r="H85" s="47">
        <v>1</v>
      </c>
      <c r="I85" s="48" t="s">
        <v>34</v>
      </c>
      <c r="J85" s="23">
        <v>3824</v>
      </c>
      <c r="K85" s="23">
        <f t="shared" si="2"/>
        <v>3824</v>
      </c>
      <c r="L85" s="21">
        <v>853720</v>
      </c>
      <c r="M85" s="49" t="s">
        <v>385</v>
      </c>
      <c r="N85" s="39"/>
    </row>
    <row r="86" spans="1:14" s="33" customFormat="1" ht="30" customHeight="1">
      <c r="A86" s="46">
        <v>75</v>
      </c>
      <c r="B86" s="18" t="s">
        <v>28</v>
      </c>
      <c r="C86" s="17" t="s">
        <v>386</v>
      </c>
      <c r="D86" s="17" t="s">
        <v>30</v>
      </c>
      <c r="E86" s="18" t="s">
        <v>387</v>
      </c>
      <c r="F86" s="19" t="s">
        <v>388</v>
      </c>
      <c r="G86" s="18" t="s">
        <v>389</v>
      </c>
      <c r="H86" s="47">
        <v>2</v>
      </c>
      <c r="I86" s="48" t="s">
        <v>40</v>
      </c>
      <c r="J86" s="23">
        <v>414</v>
      </c>
      <c r="K86" s="23">
        <f t="shared" si="2"/>
        <v>828</v>
      </c>
      <c r="L86" s="21">
        <v>853690</v>
      </c>
      <c r="M86" s="49" t="s">
        <v>390</v>
      </c>
      <c r="N86" s="39"/>
    </row>
    <row r="87" spans="1:14" s="33" customFormat="1" ht="24" customHeight="1">
      <c r="A87" s="46">
        <v>76</v>
      </c>
      <c r="B87" s="18" t="s">
        <v>28</v>
      </c>
      <c r="C87" s="17" t="s">
        <v>391</v>
      </c>
      <c r="D87" s="24" t="s">
        <v>30</v>
      </c>
      <c r="E87" s="18" t="s">
        <v>392</v>
      </c>
      <c r="F87" s="18" t="s">
        <v>393</v>
      </c>
      <c r="G87" s="18" t="s">
        <v>394</v>
      </c>
      <c r="H87" s="47">
        <v>1</v>
      </c>
      <c r="I87" s="48" t="s">
        <v>34</v>
      </c>
      <c r="J87" s="23">
        <v>2902</v>
      </c>
      <c r="K87" s="23">
        <f t="shared" si="2"/>
        <v>2902</v>
      </c>
      <c r="L87" s="21">
        <v>853720</v>
      </c>
      <c r="M87" s="49" t="s">
        <v>395</v>
      </c>
      <c r="N87" s="39"/>
    </row>
    <row r="88" spans="1:14" s="33" customFormat="1" ht="24" customHeight="1">
      <c r="A88" s="46">
        <v>77</v>
      </c>
      <c r="B88" s="18" t="s">
        <v>28</v>
      </c>
      <c r="C88" s="17" t="s">
        <v>396</v>
      </c>
      <c r="D88" s="24" t="s">
        <v>30</v>
      </c>
      <c r="E88" s="18" t="s">
        <v>397</v>
      </c>
      <c r="F88" s="18" t="s">
        <v>398</v>
      </c>
      <c r="G88" s="18" t="s">
        <v>399</v>
      </c>
      <c r="H88" s="47">
        <v>1</v>
      </c>
      <c r="I88" s="48" t="s">
        <v>34</v>
      </c>
      <c r="J88" s="23">
        <v>304</v>
      </c>
      <c r="K88" s="23">
        <f t="shared" si="2"/>
        <v>304</v>
      </c>
      <c r="L88" s="21">
        <v>853690</v>
      </c>
      <c r="M88" s="49" t="s">
        <v>400</v>
      </c>
      <c r="N88" s="39"/>
    </row>
    <row r="89" spans="1:14" s="33" customFormat="1" ht="24" customHeight="1">
      <c r="A89" s="46">
        <v>78</v>
      </c>
      <c r="B89" s="18" t="s">
        <v>28</v>
      </c>
      <c r="C89" s="17" t="s">
        <v>401</v>
      </c>
      <c r="D89" s="24" t="s">
        <v>30</v>
      </c>
      <c r="E89" s="18" t="s">
        <v>402</v>
      </c>
      <c r="F89" s="18" t="s">
        <v>403</v>
      </c>
      <c r="G89" s="18" t="s">
        <v>404</v>
      </c>
      <c r="H89" s="47">
        <v>1</v>
      </c>
      <c r="I89" s="48" t="s">
        <v>34</v>
      </c>
      <c r="J89" s="23">
        <v>142</v>
      </c>
      <c r="K89" s="23">
        <f t="shared" si="2"/>
        <v>142</v>
      </c>
      <c r="L89" s="21">
        <v>853290</v>
      </c>
      <c r="M89" s="49" t="s">
        <v>405</v>
      </c>
      <c r="N89" s="39"/>
    </row>
    <row r="90" spans="1:14" s="33" customFormat="1" ht="24" customHeight="1">
      <c r="A90" s="46">
        <v>79</v>
      </c>
      <c r="B90" s="18" t="s">
        <v>28</v>
      </c>
      <c r="C90" s="17" t="s">
        <v>406</v>
      </c>
      <c r="D90" s="24" t="s">
        <v>30</v>
      </c>
      <c r="E90" s="18" t="s">
        <v>407</v>
      </c>
      <c r="F90" s="18" t="s">
        <v>408</v>
      </c>
      <c r="G90" s="18" t="s">
        <v>409</v>
      </c>
      <c r="H90" s="47">
        <v>1</v>
      </c>
      <c r="I90" s="48" t="s">
        <v>34</v>
      </c>
      <c r="J90" s="23">
        <v>1861</v>
      </c>
      <c r="K90" s="23">
        <f t="shared" si="2"/>
        <v>1861</v>
      </c>
      <c r="L90" s="21">
        <v>853890</v>
      </c>
      <c r="M90" s="49" t="s">
        <v>410</v>
      </c>
      <c r="N90" s="39"/>
    </row>
    <row r="91" spans="1:14" s="33" customFormat="1" ht="24" customHeight="1">
      <c r="A91" s="46">
        <v>80</v>
      </c>
      <c r="B91" s="18" t="s">
        <v>28</v>
      </c>
      <c r="C91" s="17" t="s">
        <v>411</v>
      </c>
      <c r="D91" s="24" t="s">
        <v>30</v>
      </c>
      <c r="E91" s="18" t="s">
        <v>412</v>
      </c>
      <c r="F91" s="18" t="s">
        <v>413</v>
      </c>
      <c r="G91" s="18" t="s">
        <v>414</v>
      </c>
      <c r="H91" s="47">
        <v>1</v>
      </c>
      <c r="I91" s="48" t="s">
        <v>34</v>
      </c>
      <c r="J91" s="23">
        <v>49</v>
      </c>
      <c r="K91" s="23">
        <f t="shared" si="2"/>
        <v>49</v>
      </c>
      <c r="L91" s="21">
        <v>853290</v>
      </c>
      <c r="M91" s="49" t="s">
        <v>415</v>
      </c>
      <c r="N91" s="39"/>
    </row>
    <row r="92" spans="1:14" s="33" customFormat="1" ht="24" customHeight="1">
      <c r="A92" s="46">
        <v>81</v>
      </c>
      <c r="B92" s="18" t="s">
        <v>28</v>
      </c>
      <c r="C92" s="17" t="s">
        <v>416</v>
      </c>
      <c r="D92" s="24" t="s">
        <v>30</v>
      </c>
      <c r="E92" s="18" t="s">
        <v>417</v>
      </c>
      <c r="F92" s="18">
        <v>452107249</v>
      </c>
      <c r="G92" s="18" t="s">
        <v>418</v>
      </c>
      <c r="H92" s="47">
        <v>3</v>
      </c>
      <c r="I92" s="48" t="s">
        <v>40</v>
      </c>
      <c r="J92" s="23">
        <v>649</v>
      </c>
      <c r="K92" s="23">
        <f t="shared" si="2"/>
        <v>1947</v>
      </c>
      <c r="L92" s="21">
        <v>843120</v>
      </c>
      <c r="M92" s="49" t="s">
        <v>419</v>
      </c>
      <c r="N92" s="39"/>
    </row>
    <row r="93" spans="1:14" s="33" customFormat="1" ht="24" customHeight="1">
      <c r="A93" s="46">
        <v>82</v>
      </c>
      <c r="B93" s="18" t="s">
        <v>28</v>
      </c>
      <c r="C93" s="17" t="s">
        <v>420</v>
      </c>
      <c r="D93" s="24" t="s">
        <v>30</v>
      </c>
      <c r="E93" s="18" t="s">
        <v>421</v>
      </c>
      <c r="F93" s="18">
        <v>452107272</v>
      </c>
      <c r="G93" s="18" t="s">
        <v>422</v>
      </c>
      <c r="H93" s="47">
        <v>2</v>
      </c>
      <c r="I93" s="48" t="s">
        <v>40</v>
      </c>
      <c r="J93" s="23">
        <v>1164</v>
      </c>
      <c r="K93" s="23">
        <f t="shared" si="2"/>
        <v>2328</v>
      </c>
      <c r="L93" s="21">
        <v>870891</v>
      </c>
      <c r="M93" s="49" t="s">
        <v>423</v>
      </c>
      <c r="N93" s="39"/>
    </row>
    <row r="94" spans="1:14" s="33" customFormat="1" ht="24" customHeight="1">
      <c r="A94" s="46">
        <v>83</v>
      </c>
      <c r="B94" s="18" t="s">
        <v>28</v>
      </c>
      <c r="C94" s="17" t="s">
        <v>424</v>
      </c>
      <c r="D94" s="24" t="s">
        <v>30</v>
      </c>
      <c r="E94" s="18" t="s">
        <v>425</v>
      </c>
      <c r="F94" s="18" t="s">
        <v>426</v>
      </c>
      <c r="G94" s="18" t="s">
        <v>427</v>
      </c>
      <c r="H94" s="47">
        <v>2</v>
      </c>
      <c r="I94" s="48" t="s">
        <v>40</v>
      </c>
      <c r="J94" s="23">
        <v>54</v>
      </c>
      <c r="K94" s="23">
        <f t="shared" si="2"/>
        <v>108</v>
      </c>
      <c r="L94" s="21">
        <v>400921</v>
      </c>
      <c r="M94" s="49" t="s">
        <v>428</v>
      </c>
      <c r="N94" s="39"/>
    </row>
    <row r="95" spans="1:14" s="33" customFormat="1" ht="24" customHeight="1">
      <c r="A95" s="46">
        <v>84</v>
      </c>
      <c r="B95" s="18" t="s">
        <v>28</v>
      </c>
      <c r="C95" s="17" t="s">
        <v>429</v>
      </c>
      <c r="D95" s="24" t="s">
        <v>43</v>
      </c>
      <c r="E95" s="18" t="s">
        <v>425</v>
      </c>
      <c r="F95" s="18" t="s">
        <v>430</v>
      </c>
      <c r="G95" s="18" t="s">
        <v>431</v>
      </c>
      <c r="H95" s="47">
        <v>2</v>
      </c>
      <c r="I95" s="48" t="s">
        <v>40</v>
      </c>
      <c r="J95" s="23">
        <v>13</v>
      </c>
      <c r="K95" s="23">
        <f t="shared" si="2"/>
        <v>26</v>
      </c>
      <c r="L95" s="21">
        <v>400921</v>
      </c>
      <c r="M95" s="49" t="s">
        <v>432</v>
      </c>
      <c r="N95" s="39"/>
    </row>
    <row r="96" spans="1:14" s="33" customFormat="1" ht="24" customHeight="1">
      <c r="A96" s="46">
        <v>85</v>
      </c>
      <c r="B96" s="18" t="s">
        <v>28</v>
      </c>
      <c r="C96" s="17" t="s">
        <v>433</v>
      </c>
      <c r="D96" s="24" t="s">
        <v>43</v>
      </c>
      <c r="E96" s="18" t="s">
        <v>434</v>
      </c>
      <c r="F96" s="18" t="s">
        <v>435</v>
      </c>
      <c r="G96" s="18" t="s">
        <v>436</v>
      </c>
      <c r="H96" s="47">
        <v>2</v>
      </c>
      <c r="I96" s="48" t="s">
        <v>40</v>
      </c>
      <c r="J96" s="23">
        <v>10</v>
      </c>
      <c r="K96" s="23">
        <f t="shared" si="2"/>
        <v>20</v>
      </c>
      <c r="L96" s="21">
        <v>400921</v>
      </c>
      <c r="M96" s="49" t="s">
        <v>437</v>
      </c>
      <c r="N96" s="39"/>
    </row>
    <row r="97" spans="1:14" s="33" customFormat="1" ht="24" customHeight="1">
      <c r="A97" s="46">
        <v>86</v>
      </c>
      <c r="B97" s="18" t="s">
        <v>28</v>
      </c>
      <c r="C97" s="17" t="s">
        <v>438</v>
      </c>
      <c r="D97" s="24" t="s">
        <v>43</v>
      </c>
      <c r="E97" s="18" t="s">
        <v>439</v>
      </c>
      <c r="F97" s="18" t="s">
        <v>440</v>
      </c>
      <c r="G97" s="18" t="s">
        <v>441</v>
      </c>
      <c r="H97" s="47">
        <v>2</v>
      </c>
      <c r="I97" s="48" t="s">
        <v>40</v>
      </c>
      <c r="J97" s="23">
        <v>13</v>
      </c>
      <c r="K97" s="23">
        <f t="shared" si="2"/>
        <v>26</v>
      </c>
      <c r="L97" s="21">
        <v>400921</v>
      </c>
      <c r="M97" s="49" t="s">
        <v>442</v>
      </c>
      <c r="N97" s="39"/>
    </row>
    <row r="98" spans="1:14" s="33" customFormat="1" ht="24" customHeight="1">
      <c r="A98" s="46">
        <v>87</v>
      </c>
      <c r="B98" s="18" t="s">
        <v>28</v>
      </c>
      <c r="C98" s="17" t="s">
        <v>443</v>
      </c>
      <c r="D98" s="24" t="s">
        <v>30</v>
      </c>
      <c r="E98" s="18" t="s">
        <v>444</v>
      </c>
      <c r="F98" s="18" t="s">
        <v>445</v>
      </c>
      <c r="G98" s="18" t="s">
        <v>446</v>
      </c>
      <c r="H98" s="47">
        <v>3</v>
      </c>
      <c r="I98" s="48" t="s">
        <v>40</v>
      </c>
      <c r="J98" s="23">
        <v>102</v>
      </c>
      <c r="K98" s="23">
        <f t="shared" si="2"/>
        <v>306</v>
      </c>
      <c r="L98" s="21">
        <v>730711</v>
      </c>
      <c r="M98" s="49" t="s">
        <v>447</v>
      </c>
      <c r="N98" s="39"/>
    </row>
    <row r="99" spans="1:14" s="33" customFormat="1" ht="24" customHeight="1">
      <c r="A99" s="46">
        <v>88</v>
      </c>
      <c r="B99" s="18" t="s">
        <v>28</v>
      </c>
      <c r="C99" s="17" t="s">
        <v>448</v>
      </c>
      <c r="D99" s="24" t="s">
        <v>30</v>
      </c>
      <c r="E99" s="18" t="s">
        <v>449</v>
      </c>
      <c r="F99" s="18" t="s">
        <v>450</v>
      </c>
      <c r="G99" s="18" t="s">
        <v>451</v>
      </c>
      <c r="H99" s="47">
        <v>2</v>
      </c>
      <c r="I99" s="48" t="s">
        <v>40</v>
      </c>
      <c r="J99" s="23">
        <v>15</v>
      </c>
      <c r="K99" s="23">
        <f t="shared" si="2"/>
        <v>30</v>
      </c>
      <c r="L99" s="21">
        <v>400921</v>
      </c>
      <c r="M99" s="49" t="s">
        <v>452</v>
      </c>
      <c r="N99" s="39"/>
    </row>
    <row r="100" spans="1:14" s="33" customFormat="1" ht="24" customHeight="1">
      <c r="A100" s="46">
        <v>89</v>
      </c>
      <c r="B100" s="18" t="s">
        <v>28</v>
      </c>
      <c r="C100" s="17" t="s">
        <v>453</v>
      </c>
      <c r="D100" s="24" t="s">
        <v>43</v>
      </c>
      <c r="E100" s="18" t="s">
        <v>454</v>
      </c>
      <c r="F100" s="18" t="s">
        <v>455</v>
      </c>
      <c r="G100" s="18" t="s">
        <v>456</v>
      </c>
      <c r="H100" s="47">
        <v>2</v>
      </c>
      <c r="I100" s="48" t="s">
        <v>40</v>
      </c>
      <c r="J100" s="23">
        <v>9</v>
      </c>
      <c r="K100" s="23">
        <f t="shared" si="2"/>
        <v>18</v>
      </c>
      <c r="L100" s="21">
        <v>400921</v>
      </c>
      <c r="M100" s="49" t="s">
        <v>457</v>
      </c>
      <c r="N100" s="39"/>
    </row>
    <row r="101" spans="1:14" s="33" customFormat="1" ht="24" customHeight="1">
      <c r="A101" s="46">
        <v>90</v>
      </c>
      <c r="B101" s="18" t="s">
        <v>28</v>
      </c>
      <c r="C101" s="17" t="s">
        <v>458</v>
      </c>
      <c r="D101" s="24" t="s">
        <v>30</v>
      </c>
      <c r="E101" s="18" t="s">
        <v>459</v>
      </c>
      <c r="F101" s="18" t="s">
        <v>460</v>
      </c>
      <c r="G101" s="18" t="s">
        <v>461</v>
      </c>
      <c r="H101" s="47">
        <v>2</v>
      </c>
      <c r="I101" s="48" t="s">
        <v>40</v>
      </c>
      <c r="J101" s="23">
        <v>13</v>
      </c>
      <c r="K101" s="23">
        <f t="shared" si="2"/>
        <v>26</v>
      </c>
      <c r="L101" s="21">
        <v>400921</v>
      </c>
      <c r="M101" s="49" t="s">
        <v>462</v>
      </c>
      <c r="N101" s="39"/>
    </row>
    <row r="102" spans="1:14" s="33" customFormat="1" ht="24" customHeight="1">
      <c r="A102" s="46">
        <v>91</v>
      </c>
      <c r="B102" s="18" t="s">
        <v>28</v>
      </c>
      <c r="C102" s="17" t="s">
        <v>463</v>
      </c>
      <c r="D102" s="24" t="s">
        <v>30</v>
      </c>
      <c r="E102" s="18" t="s">
        <v>464</v>
      </c>
      <c r="F102" s="18" t="s">
        <v>465</v>
      </c>
      <c r="G102" s="18" t="s">
        <v>466</v>
      </c>
      <c r="H102" s="47">
        <v>3</v>
      </c>
      <c r="I102" s="48" t="s">
        <v>40</v>
      </c>
      <c r="J102" s="23">
        <v>5</v>
      </c>
      <c r="K102" s="23">
        <f t="shared" si="2"/>
        <v>15</v>
      </c>
      <c r="L102" s="21">
        <v>400921</v>
      </c>
      <c r="M102" s="49" t="s">
        <v>467</v>
      </c>
      <c r="N102" s="39"/>
    </row>
    <row r="103" spans="1:14" s="33" customFormat="1" ht="24" customHeight="1">
      <c r="A103" s="46">
        <v>92</v>
      </c>
      <c r="B103" s="18" t="s">
        <v>28</v>
      </c>
      <c r="C103" s="17" t="s">
        <v>468</v>
      </c>
      <c r="D103" s="24" t="s">
        <v>30</v>
      </c>
      <c r="E103" s="18" t="s">
        <v>469</v>
      </c>
      <c r="F103" s="18" t="s">
        <v>470</v>
      </c>
      <c r="G103" s="18" t="s">
        <v>471</v>
      </c>
      <c r="H103" s="47">
        <v>3</v>
      </c>
      <c r="I103" s="48" t="s">
        <v>40</v>
      </c>
      <c r="J103" s="23">
        <v>24</v>
      </c>
      <c r="K103" s="23">
        <f t="shared" si="2"/>
        <v>72</v>
      </c>
      <c r="L103" s="21">
        <v>732690</v>
      </c>
      <c r="M103" s="49" t="s">
        <v>472</v>
      </c>
      <c r="N103" s="39"/>
    </row>
    <row r="104" spans="1:14" s="33" customFormat="1" ht="24" customHeight="1">
      <c r="A104" s="46">
        <v>93</v>
      </c>
      <c r="B104" s="18" t="s">
        <v>28</v>
      </c>
      <c r="C104" s="17" t="s">
        <v>473</v>
      </c>
      <c r="D104" s="24" t="s">
        <v>30</v>
      </c>
      <c r="E104" s="18" t="s">
        <v>474</v>
      </c>
      <c r="F104" s="18" t="s">
        <v>475</v>
      </c>
      <c r="G104" s="18" t="s">
        <v>476</v>
      </c>
      <c r="H104" s="47">
        <v>2</v>
      </c>
      <c r="I104" s="48" t="s">
        <v>40</v>
      </c>
      <c r="J104" s="23">
        <v>29</v>
      </c>
      <c r="K104" s="23">
        <f t="shared" si="2"/>
        <v>58</v>
      </c>
      <c r="L104" s="21">
        <v>400921</v>
      </c>
      <c r="M104" s="49" t="s">
        <v>477</v>
      </c>
      <c r="N104" s="39"/>
    </row>
    <row r="105" spans="1:14" s="33" customFormat="1" ht="24" customHeight="1">
      <c r="A105" s="46">
        <v>94</v>
      </c>
      <c r="B105" s="18" t="s">
        <v>28</v>
      </c>
      <c r="C105" s="17" t="s">
        <v>478</v>
      </c>
      <c r="D105" s="24" t="s">
        <v>30</v>
      </c>
      <c r="E105" s="18" t="s">
        <v>479</v>
      </c>
      <c r="F105" s="18" t="s">
        <v>480</v>
      </c>
      <c r="G105" s="18" t="s">
        <v>481</v>
      </c>
      <c r="H105" s="47">
        <v>2</v>
      </c>
      <c r="I105" s="48" t="s">
        <v>40</v>
      </c>
      <c r="J105" s="23">
        <v>8</v>
      </c>
      <c r="K105" s="23">
        <f t="shared" si="2"/>
        <v>16</v>
      </c>
      <c r="L105" s="21">
        <v>400921</v>
      </c>
      <c r="M105" s="49" t="s">
        <v>482</v>
      </c>
      <c r="N105" s="39"/>
    </row>
    <row r="106" spans="1:14" s="33" customFormat="1" ht="24" customHeight="1">
      <c r="A106" s="46">
        <v>95</v>
      </c>
      <c r="B106" s="18" t="s">
        <v>28</v>
      </c>
      <c r="C106" s="17" t="s">
        <v>483</v>
      </c>
      <c r="D106" s="24" t="s">
        <v>43</v>
      </c>
      <c r="E106" s="18" t="s">
        <v>484</v>
      </c>
      <c r="F106" s="18" t="s">
        <v>485</v>
      </c>
      <c r="G106" s="18" t="s">
        <v>486</v>
      </c>
      <c r="H106" s="47">
        <v>2</v>
      </c>
      <c r="I106" s="48" t="s">
        <v>40</v>
      </c>
      <c r="J106" s="23">
        <v>51</v>
      </c>
      <c r="K106" s="23">
        <f t="shared" si="2"/>
        <v>102</v>
      </c>
      <c r="L106" s="21">
        <v>400921</v>
      </c>
      <c r="M106" s="49" t="s">
        <v>487</v>
      </c>
      <c r="N106" s="39"/>
    </row>
    <row r="107" spans="1:14" s="33" customFormat="1" ht="24" customHeight="1">
      <c r="A107" s="46">
        <v>96</v>
      </c>
      <c r="B107" s="18" t="s">
        <v>28</v>
      </c>
      <c r="C107" s="17" t="s">
        <v>488</v>
      </c>
      <c r="D107" s="24" t="s">
        <v>30</v>
      </c>
      <c r="E107" s="18" t="s">
        <v>489</v>
      </c>
      <c r="F107" s="18" t="s">
        <v>490</v>
      </c>
      <c r="G107" s="18" t="s">
        <v>491</v>
      </c>
      <c r="H107" s="47">
        <v>2</v>
      </c>
      <c r="I107" s="48" t="s">
        <v>40</v>
      </c>
      <c r="J107" s="23">
        <v>118</v>
      </c>
      <c r="K107" s="23">
        <f t="shared" si="2"/>
        <v>236</v>
      </c>
      <c r="L107" s="21">
        <v>400921</v>
      </c>
      <c r="M107" s="49" t="s">
        <v>492</v>
      </c>
      <c r="N107" s="39"/>
    </row>
    <row r="108" spans="1:14" s="33" customFormat="1" ht="24" customHeight="1">
      <c r="A108" s="46">
        <v>97</v>
      </c>
      <c r="B108" s="18" t="s">
        <v>28</v>
      </c>
      <c r="C108" s="17" t="s">
        <v>493</v>
      </c>
      <c r="D108" s="24" t="s">
        <v>30</v>
      </c>
      <c r="E108" s="18" t="s">
        <v>494</v>
      </c>
      <c r="F108" s="18" t="s">
        <v>495</v>
      </c>
      <c r="G108" s="18" t="s">
        <v>496</v>
      </c>
      <c r="H108" s="47">
        <v>2</v>
      </c>
      <c r="I108" s="48" t="s">
        <v>40</v>
      </c>
      <c r="J108" s="23">
        <v>62</v>
      </c>
      <c r="K108" s="23">
        <f t="shared" si="2"/>
        <v>124</v>
      </c>
      <c r="L108" s="21">
        <v>400921</v>
      </c>
      <c r="M108" s="49" t="s">
        <v>497</v>
      </c>
      <c r="N108" s="39"/>
    </row>
    <row r="109" spans="1:14" s="33" customFormat="1" ht="24" customHeight="1">
      <c r="A109" s="46">
        <v>98</v>
      </c>
      <c r="B109" s="18" t="s">
        <v>28</v>
      </c>
      <c r="C109" s="17" t="s">
        <v>498</v>
      </c>
      <c r="D109" s="24" t="s">
        <v>30</v>
      </c>
      <c r="E109" s="18" t="s">
        <v>499</v>
      </c>
      <c r="F109" s="18" t="s">
        <v>500</v>
      </c>
      <c r="G109" s="18" t="s">
        <v>501</v>
      </c>
      <c r="H109" s="47">
        <v>2</v>
      </c>
      <c r="I109" s="48" t="s">
        <v>40</v>
      </c>
      <c r="J109" s="23">
        <v>117</v>
      </c>
      <c r="K109" s="23">
        <f t="shared" ref="K109:K140" si="3">H109*J109</f>
        <v>234</v>
      </c>
      <c r="L109" s="21">
        <v>830230</v>
      </c>
      <c r="M109" s="49" t="s">
        <v>502</v>
      </c>
      <c r="N109" s="39"/>
    </row>
    <row r="110" spans="1:14" s="33" customFormat="1" ht="24" customHeight="1">
      <c r="A110" s="46">
        <v>99</v>
      </c>
      <c r="B110" s="18" t="s">
        <v>28</v>
      </c>
      <c r="C110" s="17" t="s">
        <v>503</v>
      </c>
      <c r="D110" s="24" t="s">
        <v>30</v>
      </c>
      <c r="E110" s="18" t="s">
        <v>504</v>
      </c>
      <c r="F110" s="18" t="s">
        <v>505</v>
      </c>
      <c r="G110" s="18" t="s">
        <v>506</v>
      </c>
      <c r="H110" s="47">
        <v>2</v>
      </c>
      <c r="I110" s="48" t="s">
        <v>40</v>
      </c>
      <c r="J110" s="23">
        <v>64</v>
      </c>
      <c r="K110" s="23">
        <f t="shared" si="3"/>
        <v>128</v>
      </c>
      <c r="L110" s="21">
        <v>732690</v>
      </c>
      <c r="M110" s="49" t="s">
        <v>507</v>
      </c>
      <c r="N110" s="39"/>
    </row>
    <row r="111" spans="1:14" s="33" customFormat="1" ht="24" customHeight="1">
      <c r="A111" s="46">
        <v>100</v>
      </c>
      <c r="B111" s="18" t="s">
        <v>28</v>
      </c>
      <c r="C111" s="17" t="s">
        <v>508</v>
      </c>
      <c r="D111" s="24" t="s">
        <v>30</v>
      </c>
      <c r="E111" s="18" t="s">
        <v>509</v>
      </c>
      <c r="F111" s="18" t="s">
        <v>510</v>
      </c>
      <c r="G111" s="18" t="s">
        <v>511</v>
      </c>
      <c r="H111" s="47">
        <v>2</v>
      </c>
      <c r="I111" s="48" t="s">
        <v>40</v>
      </c>
      <c r="J111" s="23">
        <v>24</v>
      </c>
      <c r="K111" s="23">
        <f t="shared" si="3"/>
        <v>48</v>
      </c>
      <c r="L111" s="21">
        <v>848410</v>
      </c>
      <c r="M111" s="49" t="s">
        <v>512</v>
      </c>
      <c r="N111" s="39"/>
    </row>
    <row r="112" spans="1:14" s="33" customFormat="1" ht="24" customHeight="1">
      <c r="A112" s="46">
        <v>101</v>
      </c>
      <c r="B112" s="18" t="s">
        <v>28</v>
      </c>
      <c r="C112" s="17" t="s">
        <v>513</v>
      </c>
      <c r="D112" s="24" t="s">
        <v>30</v>
      </c>
      <c r="E112" s="18" t="s">
        <v>514</v>
      </c>
      <c r="F112" s="18" t="s">
        <v>515</v>
      </c>
      <c r="G112" s="18" t="s">
        <v>516</v>
      </c>
      <c r="H112" s="47">
        <v>2</v>
      </c>
      <c r="I112" s="48" t="s">
        <v>40</v>
      </c>
      <c r="J112" s="23">
        <v>99</v>
      </c>
      <c r="K112" s="23">
        <f t="shared" si="3"/>
        <v>198</v>
      </c>
      <c r="L112" s="21">
        <v>732690</v>
      </c>
      <c r="M112" s="49" t="s">
        <v>517</v>
      </c>
      <c r="N112" s="39"/>
    </row>
    <row r="113" spans="1:14" s="33" customFormat="1" ht="24" customHeight="1">
      <c r="A113" s="46">
        <v>102</v>
      </c>
      <c r="B113" s="18" t="s">
        <v>28</v>
      </c>
      <c r="C113" s="17" t="s">
        <v>518</v>
      </c>
      <c r="D113" s="24" t="s">
        <v>30</v>
      </c>
      <c r="E113" s="18" t="s">
        <v>519</v>
      </c>
      <c r="F113" s="18" t="s">
        <v>520</v>
      </c>
      <c r="G113" s="18" t="s">
        <v>521</v>
      </c>
      <c r="H113" s="47">
        <v>5</v>
      </c>
      <c r="I113" s="48" t="s">
        <v>40</v>
      </c>
      <c r="J113" s="23">
        <v>29</v>
      </c>
      <c r="K113" s="23">
        <f t="shared" si="3"/>
        <v>145</v>
      </c>
      <c r="L113" s="21">
        <v>848230</v>
      </c>
      <c r="M113" s="49" t="s">
        <v>522</v>
      </c>
      <c r="N113" s="39"/>
    </row>
    <row r="114" spans="1:14" s="33" customFormat="1" ht="24" customHeight="1">
      <c r="A114" s="46">
        <v>103</v>
      </c>
      <c r="B114" s="18" t="s">
        <v>28</v>
      </c>
      <c r="C114" s="17" t="s">
        <v>523</v>
      </c>
      <c r="D114" s="24" t="s">
        <v>30</v>
      </c>
      <c r="E114" s="18" t="s">
        <v>524</v>
      </c>
      <c r="F114" s="18" t="s">
        <v>525</v>
      </c>
      <c r="G114" s="18" t="s">
        <v>526</v>
      </c>
      <c r="H114" s="47">
        <v>1</v>
      </c>
      <c r="I114" s="48" t="s">
        <v>34</v>
      </c>
      <c r="J114" s="23">
        <v>101</v>
      </c>
      <c r="K114" s="23">
        <f t="shared" si="3"/>
        <v>101</v>
      </c>
      <c r="L114" s="21">
        <v>732690</v>
      </c>
      <c r="M114" s="49" t="s">
        <v>527</v>
      </c>
      <c r="N114" s="39"/>
    </row>
    <row r="115" spans="1:14" s="33" customFormat="1" ht="24" customHeight="1">
      <c r="A115" s="46">
        <v>104</v>
      </c>
      <c r="B115" s="18" t="s">
        <v>28</v>
      </c>
      <c r="C115" s="17" t="s">
        <v>528</v>
      </c>
      <c r="D115" s="24" t="s">
        <v>30</v>
      </c>
      <c r="E115" s="18" t="s">
        <v>529</v>
      </c>
      <c r="F115" s="18" t="s">
        <v>530</v>
      </c>
      <c r="G115" s="18" t="s">
        <v>531</v>
      </c>
      <c r="H115" s="47">
        <v>1</v>
      </c>
      <c r="I115" s="48" t="s">
        <v>34</v>
      </c>
      <c r="J115" s="23">
        <v>1518</v>
      </c>
      <c r="K115" s="23">
        <f t="shared" si="3"/>
        <v>1518</v>
      </c>
      <c r="L115" s="21">
        <v>870894</v>
      </c>
      <c r="M115" s="49" t="s">
        <v>532</v>
      </c>
      <c r="N115" s="39"/>
    </row>
    <row r="116" spans="1:14" s="33" customFormat="1" ht="24" customHeight="1">
      <c r="A116" s="46">
        <v>105</v>
      </c>
      <c r="B116" s="18" t="s">
        <v>28</v>
      </c>
      <c r="C116" s="17" t="s">
        <v>533</v>
      </c>
      <c r="D116" s="24" t="s">
        <v>30</v>
      </c>
      <c r="E116" s="18" t="s">
        <v>534</v>
      </c>
      <c r="F116" s="18">
        <v>4534005978</v>
      </c>
      <c r="G116" s="18" t="s">
        <v>535</v>
      </c>
      <c r="H116" s="47">
        <v>1</v>
      </c>
      <c r="I116" s="48" t="s">
        <v>34</v>
      </c>
      <c r="J116" s="23">
        <v>341</v>
      </c>
      <c r="K116" s="23">
        <f t="shared" si="3"/>
        <v>341</v>
      </c>
      <c r="L116" s="21">
        <v>870894</v>
      </c>
      <c r="M116" s="49" t="s">
        <v>536</v>
      </c>
      <c r="N116" s="39"/>
    </row>
    <row r="117" spans="1:14" s="33" customFormat="1" ht="24" customHeight="1">
      <c r="A117" s="46">
        <v>106</v>
      </c>
      <c r="B117" s="18" t="s">
        <v>28</v>
      </c>
      <c r="C117" s="17" t="s">
        <v>537</v>
      </c>
      <c r="D117" s="24" t="s">
        <v>30</v>
      </c>
      <c r="E117" s="18" t="s">
        <v>538</v>
      </c>
      <c r="F117" s="18" t="s">
        <v>539</v>
      </c>
      <c r="G117" s="18" t="s">
        <v>540</v>
      </c>
      <c r="H117" s="47">
        <v>8</v>
      </c>
      <c r="I117" s="48" t="s">
        <v>40</v>
      </c>
      <c r="J117" s="23">
        <v>515</v>
      </c>
      <c r="K117" s="23">
        <f t="shared" si="3"/>
        <v>4120</v>
      </c>
      <c r="L117" s="21">
        <v>870870</v>
      </c>
      <c r="M117" s="49" t="s">
        <v>541</v>
      </c>
      <c r="N117" s="39"/>
    </row>
    <row r="118" spans="1:14" s="33" customFormat="1" ht="24" customHeight="1">
      <c r="A118" s="46">
        <v>107</v>
      </c>
      <c r="B118" s="18" t="s">
        <v>28</v>
      </c>
      <c r="C118" s="17" t="s">
        <v>542</v>
      </c>
      <c r="D118" s="24" t="s">
        <v>30</v>
      </c>
      <c r="E118" s="18" t="s">
        <v>543</v>
      </c>
      <c r="F118" s="18">
        <v>4584000237</v>
      </c>
      <c r="G118" s="18" t="s">
        <v>544</v>
      </c>
      <c r="H118" s="47">
        <v>20</v>
      </c>
      <c r="I118" s="48" t="s">
        <v>40</v>
      </c>
      <c r="J118" s="23">
        <v>211</v>
      </c>
      <c r="K118" s="23">
        <f t="shared" si="3"/>
        <v>4220</v>
      </c>
      <c r="L118" s="21">
        <v>870829</v>
      </c>
      <c r="M118" s="49" t="s">
        <v>545</v>
      </c>
      <c r="N118" s="39"/>
    </row>
    <row r="119" spans="1:14" s="33" customFormat="1" ht="24" customHeight="1">
      <c r="A119" s="46">
        <v>108</v>
      </c>
      <c r="B119" s="18" t="s">
        <v>28</v>
      </c>
      <c r="C119" s="17" t="s">
        <v>546</v>
      </c>
      <c r="D119" s="24" t="s">
        <v>30</v>
      </c>
      <c r="E119" s="18" t="s">
        <v>547</v>
      </c>
      <c r="F119" s="18">
        <v>4584000238</v>
      </c>
      <c r="G119" s="18" t="s">
        <v>548</v>
      </c>
      <c r="H119" s="47">
        <v>20</v>
      </c>
      <c r="I119" s="48" t="s">
        <v>40</v>
      </c>
      <c r="J119" s="23">
        <v>211</v>
      </c>
      <c r="K119" s="23">
        <f t="shared" si="3"/>
        <v>4220</v>
      </c>
      <c r="L119" s="21">
        <v>870829</v>
      </c>
      <c r="M119" s="49" t="s">
        <v>549</v>
      </c>
      <c r="N119" s="39"/>
    </row>
    <row r="120" spans="1:14" s="33" customFormat="1" ht="24" customHeight="1">
      <c r="A120" s="46">
        <v>109</v>
      </c>
      <c r="B120" s="18" t="s">
        <v>28</v>
      </c>
      <c r="C120" s="17" t="s">
        <v>550</v>
      </c>
      <c r="D120" s="24" t="s">
        <v>30</v>
      </c>
      <c r="E120" s="18" t="s">
        <v>551</v>
      </c>
      <c r="F120" s="18">
        <v>4584003485</v>
      </c>
      <c r="G120" s="18" t="s">
        <v>552</v>
      </c>
      <c r="H120" s="47">
        <v>2</v>
      </c>
      <c r="I120" s="48" t="s">
        <v>40</v>
      </c>
      <c r="J120" s="23">
        <v>94</v>
      </c>
      <c r="K120" s="23">
        <f t="shared" si="3"/>
        <v>188</v>
      </c>
      <c r="L120" s="21">
        <v>870829</v>
      </c>
      <c r="M120" s="49" t="s">
        <v>553</v>
      </c>
      <c r="N120" s="39"/>
    </row>
    <row r="121" spans="1:14" s="33" customFormat="1" ht="24" customHeight="1">
      <c r="A121" s="46">
        <v>110</v>
      </c>
      <c r="B121" s="18" t="s">
        <v>28</v>
      </c>
      <c r="C121" s="17" t="s">
        <v>554</v>
      </c>
      <c r="D121" s="24" t="s">
        <v>30</v>
      </c>
      <c r="E121" s="18" t="s">
        <v>555</v>
      </c>
      <c r="F121" s="18">
        <v>4584002352</v>
      </c>
      <c r="G121" s="18" t="s">
        <v>556</v>
      </c>
      <c r="H121" s="47">
        <v>2</v>
      </c>
      <c r="I121" s="48" t="s">
        <v>40</v>
      </c>
      <c r="J121" s="23">
        <v>21</v>
      </c>
      <c r="K121" s="23">
        <f t="shared" si="3"/>
        <v>42</v>
      </c>
      <c r="L121" s="21">
        <v>870829</v>
      </c>
      <c r="M121" s="49" t="s">
        <v>557</v>
      </c>
      <c r="N121" s="39"/>
    </row>
    <row r="122" spans="1:14" s="33" customFormat="1" ht="24" customHeight="1">
      <c r="A122" s="46">
        <v>111</v>
      </c>
      <c r="B122" s="18" t="s">
        <v>28</v>
      </c>
      <c r="C122" s="17" t="s">
        <v>558</v>
      </c>
      <c r="D122" s="24" t="s">
        <v>30</v>
      </c>
      <c r="E122" s="18" t="s">
        <v>559</v>
      </c>
      <c r="F122" s="18">
        <v>4584002351</v>
      </c>
      <c r="G122" s="18" t="s">
        <v>560</v>
      </c>
      <c r="H122" s="47">
        <v>20</v>
      </c>
      <c r="I122" s="48" t="s">
        <v>40</v>
      </c>
      <c r="J122" s="23">
        <v>21</v>
      </c>
      <c r="K122" s="23">
        <f t="shared" si="3"/>
        <v>420</v>
      </c>
      <c r="L122" s="21">
        <v>870829</v>
      </c>
      <c r="M122" s="49" t="s">
        <v>561</v>
      </c>
      <c r="N122" s="39"/>
    </row>
    <row r="123" spans="1:14" s="33" customFormat="1" ht="24" customHeight="1">
      <c r="A123" s="46">
        <v>112</v>
      </c>
      <c r="B123" s="18" t="s">
        <v>28</v>
      </c>
      <c r="C123" s="17" t="s">
        <v>562</v>
      </c>
      <c r="D123" s="24" t="s">
        <v>30</v>
      </c>
      <c r="E123" s="18" t="s">
        <v>563</v>
      </c>
      <c r="F123" s="18">
        <v>4584003486</v>
      </c>
      <c r="G123" s="18" t="s">
        <v>564</v>
      </c>
      <c r="H123" s="47">
        <v>20</v>
      </c>
      <c r="I123" s="48" t="s">
        <v>40</v>
      </c>
      <c r="J123" s="23">
        <v>94</v>
      </c>
      <c r="K123" s="23">
        <f t="shared" si="3"/>
        <v>1880</v>
      </c>
      <c r="L123" s="21">
        <v>870829</v>
      </c>
      <c r="M123" s="49" t="s">
        <v>565</v>
      </c>
      <c r="N123" s="39"/>
    </row>
    <row r="124" spans="1:14" s="33" customFormat="1" ht="24" customHeight="1">
      <c r="A124" s="46">
        <v>113</v>
      </c>
      <c r="B124" s="18" t="s">
        <v>28</v>
      </c>
      <c r="C124" s="17" t="s">
        <v>566</v>
      </c>
      <c r="D124" s="24" t="s">
        <v>30</v>
      </c>
      <c r="E124" s="18" t="s">
        <v>567</v>
      </c>
      <c r="F124" s="18">
        <v>4538007595</v>
      </c>
      <c r="G124" s="18" t="s">
        <v>568</v>
      </c>
      <c r="H124" s="47">
        <v>2</v>
      </c>
      <c r="I124" s="48" t="s">
        <v>40</v>
      </c>
      <c r="J124" s="23">
        <v>195</v>
      </c>
      <c r="K124" s="23">
        <f t="shared" si="3"/>
        <v>390</v>
      </c>
      <c r="L124" s="21">
        <v>870829</v>
      </c>
      <c r="M124" s="49" t="s">
        <v>569</v>
      </c>
      <c r="N124" s="39"/>
    </row>
    <row r="125" spans="1:14" s="33" customFormat="1" ht="24" customHeight="1">
      <c r="A125" s="46">
        <v>114</v>
      </c>
      <c r="B125" s="18" t="s">
        <v>28</v>
      </c>
      <c r="C125" s="17" t="s">
        <v>570</v>
      </c>
      <c r="D125" s="24" t="s">
        <v>30</v>
      </c>
      <c r="E125" s="18" t="s">
        <v>571</v>
      </c>
      <c r="F125" s="18">
        <v>4538007594</v>
      </c>
      <c r="G125" s="18" t="s">
        <v>572</v>
      </c>
      <c r="H125" s="47">
        <v>2</v>
      </c>
      <c r="I125" s="48" t="s">
        <v>40</v>
      </c>
      <c r="J125" s="23">
        <v>227</v>
      </c>
      <c r="K125" s="23">
        <f t="shared" si="3"/>
        <v>454</v>
      </c>
      <c r="L125" s="21">
        <v>870829</v>
      </c>
      <c r="M125" s="49" t="s">
        <v>573</v>
      </c>
      <c r="N125" s="39"/>
    </row>
    <row r="126" spans="1:14" s="33" customFormat="1" ht="24" customHeight="1">
      <c r="A126" s="46">
        <v>115</v>
      </c>
      <c r="B126" s="18" t="s">
        <v>28</v>
      </c>
      <c r="C126" s="17" t="s">
        <v>574</v>
      </c>
      <c r="D126" s="24" t="s">
        <v>30</v>
      </c>
      <c r="E126" s="18" t="s">
        <v>575</v>
      </c>
      <c r="F126" s="18">
        <v>4538006239</v>
      </c>
      <c r="G126" s="18" t="s">
        <v>576</v>
      </c>
      <c r="H126" s="47">
        <v>2</v>
      </c>
      <c r="I126" s="48" t="s">
        <v>40</v>
      </c>
      <c r="J126" s="23">
        <v>106</v>
      </c>
      <c r="K126" s="23">
        <f t="shared" si="3"/>
        <v>212</v>
      </c>
      <c r="L126" s="21">
        <v>870829</v>
      </c>
      <c r="M126" s="49" t="s">
        <v>577</v>
      </c>
      <c r="N126" s="39"/>
    </row>
    <row r="127" spans="1:14" s="33" customFormat="1" ht="24" customHeight="1">
      <c r="A127" s="46">
        <v>116</v>
      </c>
      <c r="B127" s="18" t="s">
        <v>28</v>
      </c>
      <c r="C127" s="17" t="s">
        <v>578</v>
      </c>
      <c r="D127" s="24" t="s">
        <v>30</v>
      </c>
      <c r="E127" s="18" t="s">
        <v>579</v>
      </c>
      <c r="F127" s="18">
        <v>4538006243</v>
      </c>
      <c r="G127" s="18" t="s">
        <v>580</v>
      </c>
      <c r="H127" s="47">
        <v>2</v>
      </c>
      <c r="I127" s="48" t="s">
        <v>40</v>
      </c>
      <c r="J127" s="23">
        <v>106</v>
      </c>
      <c r="K127" s="23">
        <f t="shared" si="3"/>
        <v>212</v>
      </c>
      <c r="L127" s="21">
        <v>870829</v>
      </c>
      <c r="M127" s="49" t="s">
        <v>581</v>
      </c>
      <c r="N127" s="39"/>
    </row>
    <row r="128" spans="1:14" s="33" customFormat="1" ht="24" customHeight="1">
      <c r="A128" s="46">
        <v>117</v>
      </c>
      <c r="B128" s="18" t="s">
        <v>28</v>
      </c>
      <c r="C128" s="17" t="s">
        <v>582</v>
      </c>
      <c r="D128" s="24" t="s">
        <v>43</v>
      </c>
      <c r="E128" s="18" t="s">
        <v>583</v>
      </c>
      <c r="F128" s="18">
        <v>4513009140</v>
      </c>
      <c r="G128" s="18" t="s">
        <v>584</v>
      </c>
      <c r="H128" s="47">
        <v>3</v>
      </c>
      <c r="I128" s="48" t="s">
        <v>40</v>
      </c>
      <c r="J128" s="23">
        <v>14</v>
      </c>
      <c r="K128" s="23">
        <f t="shared" si="3"/>
        <v>42</v>
      </c>
      <c r="L128" s="21">
        <v>400921</v>
      </c>
      <c r="M128" s="49" t="s">
        <v>585</v>
      </c>
      <c r="N128" s="39"/>
    </row>
    <row r="129" spans="1:14" s="33" customFormat="1" ht="24" customHeight="1">
      <c r="A129" s="46">
        <v>118</v>
      </c>
      <c r="B129" s="18" t="s">
        <v>28</v>
      </c>
      <c r="C129" s="17" t="s">
        <v>586</v>
      </c>
      <c r="D129" s="24" t="s">
        <v>43</v>
      </c>
      <c r="E129" s="18" t="s">
        <v>587</v>
      </c>
      <c r="F129" s="18">
        <v>4513009142</v>
      </c>
      <c r="G129" s="18" t="s">
        <v>588</v>
      </c>
      <c r="H129" s="47">
        <v>3</v>
      </c>
      <c r="I129" s="48" t="s">
        <v>40</v>
      </c>
      <c r="J129" s="23">
        <v>14</v>
      </c>
      <c r="K129" s="23">
        <f t="shared" si="3"/>
        <v>42</v>
      </c>
      <c r="L129" s="21">
        <v>400921</v>
      </c>
      <c r="M129" s="49" t="s">
        <v>589</v>
      </c>
      <c r="N129" s="39"/>
    </row>
    <row r="130" spans="1:14" s="33" customFormat="1" ht="24" customHeight="1">
      <c r="A130" s="46">
        <v>119</v>
      </c>
      <c r="B130" s="18" t="s">
        <v>28</v>
      </c>
      <c r="C130" s="17" t="s">
        <v>590</v>
      </c>
      <c r="D130" s="24" t="s">
        <v>43</v>
      </c>
      <c r="E130" s="18" t="s">
        <v>591</v>
      </c>
      <c r="F130" s="18">
        <v>4513009139</v>
      </c>
      <c r="G130" s="18" t="s">
        <v>592</v>
      </c>
      <c r="H130" s="47">
        <v>3</v>
      </c>
      <c r="I130" s="48" t="s">
        <v>40</v>
      </c>
      <c r="J130" s="23">
        <v>14</v>
      </c>
      <c r="K130" s="23">
        <f t="shared" si="3"/>
        <v>42</v>
      </c>
      <c r="L130" s="21">
        <v>400921</v>
      </c>
      <c r="M130" s="49" t="s">
        <v>593</v>
      </c>
      <c r="N130" s="39"/>
    </row>
    <row r="131" spans="1:14" s="33" customFormat="1" ht="24" customHeight="1">
      <c r="A131" s="46">
        <v>120</v>
      </c>
      <c r="B131" s="18" t="s">
        <v>28</v>
      </c>
      <c r="C131" s="17" t="s">
        <v>594</v>
      </c>
      <c r="D131" s="24" t="s">
        <v>43</v>
      </c>
      <c r="E131" s="18" t="s">
        <v>595</v>
      </c>
      <c r="F131" s="18">
        <v>4513009141</v>
      </c>
      <c r="G131" s="18" t="s">
        <v>596</v>
      </c>
      <c r="H131" s="47">
        <v>3</v>
      </c>
      <c r="I131" s="48" t="s">
        <v>40</v>
      </c>
      <c r="J131" s="23">
        <v>25</v>
      </c>
      <c r="K131" s="23">
        <f t="shared" si="3"/>
        <v>75</v>
      </c>
      <c r="L131" s="21">
        <v>400921</v>
      </c>
      <c r="M131" s="49" t="s">
        <v>597</v>
      </c>
      <c r="N131" s="39"/>
    </row>
    <row r="132" spans="1:14" s="33" customFormat="1" ht="24" customHeight="1">
      <c r="A132" s="46">
        <v>121</v>
      </c>
      <c r="B132" s="18" t="s">
        <v>28</v>
      </c>
      <c r="C132" s="17" t="s">
        <v>598</v>
      </c>
      <c r="D132" s="24" t="s">
        <v>30</v>
      </c>
      <c r="E132" s="18" t="s">
        <v>599</v>
      </c>
      <c r="F132" s="18" t="s">
        <v>600</v>
      </c>
      <c r="G132" s="18" t="s">
        <v>601</v>
      </c>
      <c r="H132" s="47">
        <v>2</v>
      </c>
      <c r="I132" s="48" t="s">
        <v>40</v>
      </c>
      <c r="J132" s="23">
        <v>194</v>
      </c>
      <c r="K132" s="23">
        <f t="shared" si="3"/>
        <v>388</v>
      </c>
      <c r="L132" s="21">
        <v>870829</v>
      </c>
      <c r="M132" s="49" t="s">
        <v>602</v>
      </c>
      <c r="N132" s="39"/>
    </row>
    <row r="133" spans="1:14" s="33" customFormat="1" ht="24" customHeight="1">
      <c r="A133" s="46">
        <v>122</v>
      </c>
      <c r="B133" s="18" t="s">
        <v>28</v>
      </c>
      <c r="C133" s="17" t="s">
        <v>603</v>
      </c>
      <c r="D133" s="24" t="s">
        <v>30</v>
      </c>
      <c r="E133" s="18" t="s">
        <v>604</v>
      </c>
      <c r="F133" s="18" t="s">
        <v>605</v>
      </c>
      <c r="G133" s="18" t="s">
        <v>606</v>
      </c>
      <c r="H133" s="47">
        <v>2</v>
      </c>
      <c r="I133" s="48" t="s">
        <v>40</v>
      </c>
      <c r="J133" s="23">
        <v>194</v>
      </c>
      <c r="K133" s="23">
        <f t="shared" si="3"/>
        <v>388</v>
      </c>
      <c r="L133" s="21">
        <v>870829</v>
      </c>
      <c r="M133" s="49" t="s">
        <v>607</v>
      </c>
      <c r="N133" s="39"/>
    </row>
    <row r="134" spans="1:14" s="33" customFormat="1" ht="24" customHeight="1">
      <c r="A134" s="46">
        <v>123</v>
      </c>
      <c r="B134" s="18" t="s">
        <v>28</v>
      </c>
      <c r="C134" s="17" t="s">
        <v>608</v>
      </c>
      <c r="D134" s="24" t="s">
        <v>30</v>
      </c>
      <c r="E134" s="18" t="s">
        <v>609</v>
      </c>
      <c r="F134" s="18" t="s">
        <v>610</v>
      </c>
      <c r="G134" s="18" t="s">
        <v>611</v>
      </c>
      <c r="H134" s="47">
        <v>2</v>
      </c>
      <c r="I134" s="48" t="s">
        <v>40</v>
      </c>
      <c r="J134" s="23">
        <v>366</v>
      </c>
      <c r="K134" s="23">
        <f t="shared" si="3"/>
        <v>732</v>
      </c>
      <c r="L134" s="21">
        <v>870830</v>
      </c>
      <c r="M134" s="49" t="s">
        <v>612</v>
      </c>
      <c r="N134" s="39"/>
    </row>
    <row r="135" spans="1:14" s="33" customFormat="1" ht="24" customHeight="1">
      <c r="A135" s="46">
        <v>124</v>
      </c>
      <c r="B135" s="18" t="s">
        <v>28</v>
      </c>
      <c r="C135" s="17" t="s">
        <v>613</v>
      </c>
      <c r="D135" s="24" t="s">
        <v>30</v>
      </c>
      <c r="E135" s="18" t="s">
        <v>614</v>
      </c>
      <c r="F135" s="18" t="s">
        <v>615</v>
      </c>
      <c r="G135" s="18" t="s">
        <v>616</v>
      </c>
      <c r="H135" s="47">
        <v>2</v>
      </c>
      <c r="I135" s="48" t="s">
        <v>40</v>
      </c>
      <c r="J135" s="23">
        <v>366</v>
      </c>
      <c r="K135" s="23">
        <f t="shared" si="3"/>
        <v>732</v>
      </c>
      <c r="L135" s="21">
        <v>870830</v>
      </c>
      <c r="M135" s="49" t="s">
        <v>617</v>
      </c>
      <c r="N135" s="39"/>
    </row>
    <row r="136" spans="1:14" s="33" customFormat="1" ht="24" customHeight="1">
      <c r="A136" s="46">
        <v>125</v>
      </c>
      <c r="B136" s="18" t="s">
        <v>28</v>
      </c>
      <c r="C136" s="17" t="s">
        <v>618</v>
      </c>
      <c r="D136" s="24" t="s">
        <v>279</v>
      </c>
      <c r="E136" s="18" t="s">
        <v>619</v>
      </c>
      <c r="F136" s="18" t="s">
        <v>620</v>
      </c>
      <c r="G136" s="18" t="s">
        <v>621</v>
      </c>
      <c r="H136" s="47">
        <v>5</v>
      </c>
      <c r="I136" s="48" t="s">
        <v>40</v>
      </c>
      <c r="J136" s="23">
        <v>105</v>
      </c>
      <c r="K136" s="23">
        <f t="shared" si="3"/>
        <v>525</v>
      </c>
      <c r="L136" s="21">
        <v>700992</v>
      </c>
      <c r="M136" s="49" t="s">
        <v>622</v>
      </c>
      <c r="N136" s="39"/>
    </row>
    <row r="137" spans="1:14" s="33" customFormat="1" ht="24" customHeight="1">
      <c r="A137" s="46">
        <v>126</v>
      </c>
      <c r="B137" s="18" t="s">
        <v>28</v>
      </c>
      <c r="C137" s="17" t="s">
        <v>623</v>
      </c>
      <c r="D137" s="24" t="s">
        <v>279</v>
      </c>
      <c r="E137" s="18" t="s">
        <v>624</v>
      </c>
      <c r="F137" s="18" t="s">
        <v>625</v>
      </c>
      <c r="G137" s="18" t="s">
        <v>626</v>
      </c>
      <c r="H137" s="47">
        <v>5</v>
      </c>
      <c r="I137" s="48" t="s">
        <v>40</v>
      </c>
      <c r="J137" s="23">
        <v>105</v>
      </c>
      <c r="K137" s="23">
        <f t="shared" si="3"/>
        <v>525</v>
      </c>
      <c r="L137" s="21">
        <v>700992</v>
      </c>
      <c r="M137" s="49" t="s">
        <v>627</v>
      </c>
      <c r="N137" s="39"/>
    </row>
    <row r="138" spans="1:14" s="33" customFormat="1" ht="24" customHeight="1">
      <c r="A138" s="46">
        <v>127</v>
      </c>
      <c r="B138" s="18" t="s">
        <v>28</v>
      </c>
      <c r="C138" s="17" t="s">
        <v>628</v>
      </c>
      <c r="D138" s="24" t="s">
        <v>30</v>
      </c>
      <c r="E138" s="18" t="s">
        <v>629</v>
      </c>
      <c r="F138" s="18" t="s">
        <v>630</v>
      </c>
      <c r="G138" s="18" t="s">
        <v>631</v>
      </c>
      <c r="H138" s="47">
        <v>1</v>
      </c>
      <c r="I138" s="48" t="s">
        <v>34</v>
      </c>
      <c r="J138" s="23">
        <v>315</v>
      </c>
      <c r="K138" s="23">
        <f t="shared" si="3"/>
        <v>315</v>
      </c>
      <c r="L138" s="21">
        <v>870899</v>
      </c>
      <c r="M138" s="49" t="s">
        <v>632</v>
      </c>
      <c r="N138" s="39"/>
    </row>
    <row r="139" spans="1:14" s="33" customFormat="1" ht="24" customHeight="1">
      <c r="A139" s="46">
        <v>128</v>
      </c>
      <c r="B139" s="18" t="s">
        <v>28</v>
      </c>
      <c r="C139" s="17" t="s">
        <v>633</v>
      </c>
      <c r="D139" s="24" t="s">
        <v>30</v>
      </c>
      <c r="E139" s="18" t="s">
        <v>634</v>
      </c>
      <c r="F139" s="18">
        <v>4581012641</v>
      </c>
      <c r="G139" s="18" t="s">
        <v>635</v>
      </c>
      <c r="H139" s="47">
        <v>3</v>
      </c>
      <c r="I139" s="48" t="s">
        <v>40</v>
      </c>
      <c r="J139" s="23">
        <v>106</v>
      </c>
      <c r="K139" s="23">
        <f t="shared" si="3"/>
        <v>318</v>
      </c>
      <c r="L139" s="21">
        <v>400921</v>
      </c>
      <c r="M139" s="49" t="s">
        <v>636</v>
      </c>
      <c r="N139" s="39"/>
    </row>
    <row r="140" spans="1:14" s="33" customFormat="1" ht="24" customHeight="1">
      <c r="A140" s="46">
        <v>129</v>
      </c>
      <c r="B140" s="18" t="s">
        <v>28</v>
      </c>
      <c r="C140" s="17" t="s">
        <v>637</v>
      </c>
      <c r="D140" s="24" t="s">
        <v>30</v>
      </c>
      <c r="E140" s="18" t="s">
        <v>638</v>
      </c>
      <c r="F140" s="18">
        <v>4581012640</v>
      </c>
      <c r="G140" s="18" t="s">
        <v>639</v>
      </c>
      <c r="H140" s="47">
        <v>3</v>
      </c>
      <c r="I140" s="48" t="s">
        <v>40</v>
      </c>
      <c r="J140" s="23">
        <v>112</v>
      </c>
      <c r="K140" s="23">
        <f t="shared" si="3"/>
        <v>336</v>
      </c>
      <c r="L140" s="21">
        <v>400921</v>
      </c>
      <c r="M140" s="49" t="s">
        <v>640</v>
      </c>
      <c r="N140" s="39"/>
    </row>
    <row r="141" spans="1:14" s="33" customFormat="1" ht="24" customHeight="1">
      <c r="A141" s="46">
        <v>130</v>
      </c>
      <c r="B141" s="18" t="s">
        <v>28</v>
      </c>
      <c r="C141" s="17" t="s">
        <v>641</v>
      </c>
      <c r="D141" s="24" t="s">
        <v>30</v>
      </c>
      <c r="E141" s="18" t="s">
        <v>642</v>
      </c>
      <c r="F141" s="18">
        <v>4581012639</v>
      </c>
      <c r="G141" s="18" t="s">
        <v>643</v>
      </c>
      <c r="H141" s="47">
        <v>3</v>
      </c>
      <c r="I141" s="48" t="s">
        <v>40</v>
      </c>
      <c r="J141" s="23">
        <v>76</v>
      </c>
      <c r="K141" s="23">
        <f t="shared" ref="K141:K172" si="4">H141*J141</f>
        <v>228</v>
      </c>
      <c r="L141" s="21">
        <v>400921</v>
      </c>
      <c r="M141" s="49" t="s">
        <v>644</v>
      </c>
      <c r="N141" s="39"/>
    </row>
    <row r="142" spans="1:14" s="33" customFormat="1" ht="24" customHeight="1">
      <c r="A142" s="46">
        <v>131</v>
      </c>
      <c r="B142" s="18" t="s">
        <v>28</v>
      </c>
      <c r="C142" s="17" t="s">
        <v>645</v>
      </c>
      <c r="D142" s="24" t="s">
        <v>30</v>
      </c>
      <c r="E142" s="18" t="s">
        <v>646</v>
      </c>
      <c r="F142" s="18">
        <v>4581012638</v>
      </c>
      <c r="G142" s="18" t="s">
        <v>647</v>
      </c>
      <c r="H142" s="47">
        <v>3</v>
      </c>
      <c r="I142" s="48" t="s">
        <v>40</v>
      </c>
      <c r="J142" s="23">
        <v>113</v>
      </c>
      <c r="K142" s="23">
        <f t="shared" si="4"/>
        <v>339</v>
      </c>
      <c r="L142" s="21">
        <v>400921</v>
      </c>
      <c r="M142" s="49" t="s">
        <v>648</v>
      </c>
      <c r="N142" s="39"/>
    </row>
    <row r="143" spans="1:14" s="33" customFormat="1" ht="24" customHeight="1">
      <c r="A143" s="46">
        <v>132</v>
      </c>
      <c r="B143" s="18" t="s">
        <v>28</v>
      </c>
      <c r="C143" s="17" t="s">
        <v>649</v>
      </c>
      <c r="D143" s="24" t="s">
        <v>30</v>
      </c>
      <c r="E143" s="18" t="s">
        <v>650</v>
      </c>
      <c r="F143" s="18">
        <v>4581012637</v>
      </c>
      <c r="G143" s="18" t="s">
        <v>651</v>
      </c>
      <c r="H143" s="47">
        <v>3</v>
      </c>
      <c r="I143" s="48" t="s">
        <v>40</v>
      </c>
      <c r="J143" s="23">
        <v>271</v>
      </c>
      <c r="K143" s="23">
        <f t="shared" si="4"/>
        <v>813</v>
      </c>
      <c r="L143" s="21">
        <v>400921</v>
      </c>
      <c r="M143" s="49" t="s">
        <v>652</v>
      </c>
      <c r="N143" s="39"/>
    </row>
    <row r="144" spans="1:14" s="33" customFormat="1" ht="24" customHeight="1">
      <c r="A144" s="46">
        <v>133</v>
      </c>
      <c r="B144" s="18" t="s">
        <v>28</v>
      </c>
      <c r="C144" s="17" t="s">
        <v>653</v>
      </c>
      <c r="D144" s="24" t="s">
        <v>30</v>
      </c>
      <c r="E144" s="18" t="s">
        <v>654</v>
      </c>
      <c r="F144" s="18">
        <v>4581012312</v>
      </c>
      <c r="G144" s="18" t="s">
        <v>655</v>
      </c>
      <c r="H144" s="47">
        <v>2</v>
      </c>
      <c r="I144" s="48" t="s">
        <v>40</v>
      </c>
      <c r="J144" s="23">
        <v>594</v>
      </c>
      <c r="K144" s="23">
        <f t="shared" si="4"/>
        <v>1188</v>
      </c>
      <c r="L144" s="21">
        <v>853710</v>
      </c>
      <c r="M144" s="49" t="s">
        <v>656</v>
      </c>
      <c r="N144" s="39"/>
    </row>
    <row r="145" spans="1:14" s="33" customFormat="1" ht="24" customHeight="1">
      <c r="A145" s="46">
        <v>134</v>
      </c>
      <c r="B145" s="18" t="s">
        <v>28</v>
      </c>
      <c r="C145" s="17" t="s">
        <v>657</v>
      </c>
      <c r="D145" s="24" t="s">
        <v>30</v>
      </c>
      <c r="E145" s="18" t="s">
        <v>658</v>
      </c>
      <c r="F145" s="18">
        <v>4581010835</v>
      </c>
      <c r="G145" s="18" t="s">
        <v>659</v>
      </c>
      <c r="H145" s="47">
        <v>1</v>
      </c>
      <c r="I145" s="48" t="s">
        <v>34</v>
      </c>
      <c r="J145" s="23">
        <v>252</v>
      </c>
      <c r="K145" s="23">
        <f t="shared" si="4"/>
        <v>252</v>
      </c>
      <c r="L145" s="21">
        <v>853710</v>
      </c>
      <c r="M145" s="49" t="s">
        <v>660</v>
      </c>
      <c r="N145" s="39"/>
    </row>
    <row r="146" spans="1:14" s="33" customFormat="1" ht="24" customHeight="1">
      <c r="A146" s="46">
        <v>135</v>
      </c>
      <c r="B146" s="18" t="s">
        <v>28</v>
      </c>
      <c r="C146" s="17" t="s">
        <v>661</v>
      </c>
      <c r="D146" s="24" t="s">
        <v>30</v>
      </c>
      <c r="E146" s="18" t="s">
        <v>662</v>
      </c>
      <c r="F146" s="18" t="s">
        <v>663</v>
      </c>
      <c r="G146" s="18" t="s">
        <v>664</v>
      </c>
      <c r="H146" s="47">
        <v>1</v>
      </c>
      <c r="I146" s="48" t="s">
        <v>34</v>
      </c>
      <c r="J146" s="23">
        <v>2065</v>
      </c>
      <c r="K146" s="23">
        <f t="shared" si="4"/>
        <v>2065</v>
      </c>
      <c r="L146" s="21">
        <v>850110</v>
      </c>
      <c r="M146" s="49" t="s">
        <v>665</v>
      </c>
      <c r="N146" s="39"/>
    </row>
    <row r="147" spans="1:14" s="33" customFormat="1" ht="24" customHeight="1">
      <c r="A147" s="46">
        <v>136</v>
      </c>
      <c r="B147" s="18" t="s">
        <v>28</v>
      </c>
      <c r="C147" s="17" t="s">
        <v>666</v>
      </c>
      <c r="D147" s="24" t="s">
        <v>30</v>
      </c>
      <c r="E147" s="18" t="s">
        <v>667</v>
      </c>
      <c r="F147" s="18">
        <v>4579003177</v>
      </c>
      <c r="G147" s="18" t="s">
        <v>668</v>
      </c>
      <c r="H147" s="47">
        <v>2</v>
      </c>
      <c r="I147" s="48" t="s">
        <v>40</v>
      </c>
      <c r="J147" s="23">
        <v>413</v>
      </c>
      <c r="K147" s="23">
        <f t="shared" si="4"/>
        <v>826</v>
      </c>
      <c r="L147" s="21">
        <v>853710</v>
      </c>
      <c r="M147" s="49" t="s">
        <v>669</v>
      </c>
      <c r="N147" s="39"/>
    </row>
    <row r="148" spans="1:14" s="33" customFormat="1" ht="24" customHeight="1">
      <c r="A148" s="46">
        <v>137</v>
      </c>
      <c r="B148" s="18" t="s">
        <v>28</v>
      </c>
      <c r="C148" s="17" t="s">
        <v>670</v>
      </c>
      <c r="D148" s="24" t="s">
        <v>30</v>
      </c>
      <c r="E148" s="18" t="s">
        <v>671</v>
      </c>
      <c r="F148" s="18">
        <v>4538007094</v>
      </c>
      <c r="G148" s="18" t="s">
        <v>672</v>
      </c>
      <c r="H148" s="47">
        <v>4</v>
      </c>
      <c r="I148" s="48" t="s">
        <v>40</v>
      </c>
      <c r="J148" s="23">
        <v>227</v>
      </c>
      <c r="K148" s="23">
        <f t="shared" si="4"/>
        <v>908</v>
      </c>
      <c r="L148" s="21">
        <v>870829</v>
      </c>
      <c r="M148" s="49" t="s">
        <v>673</v>
      </c>
      <c r="N148" s="39"/>
    </row>
    <row r="149" spans="1:14" s="33" customFormat="1" ht="24" customHeight="1">
      <c r="A149" s="46">
        <v>138</v>
      </c>
      <c r="B149" s="18" t="s">
        <v>28</v>
      </c>
      <c r="C149" s="17" t="s">
        <v>674</v>
      </c>
      <c r="D149" s="24" t="s">
        <v>30</v>
      </c>
      <c r="E149" s="18" t="s">
        <v>675</v>
      </c>
      <c r="F149" s="18">
        <v>4538007066</v>
      </c>
      <c r="G149" s="18" t="s">
        <v>676</v>
      </c>
      <c r="H149" s="47">
        <v>4</v>
      </c>
      <c r="I149" s="48" t="s">
        <v>40</v>
      </c>
      <c r="J149" s="23">
        <v>195</v>
      </c>
      <c r="K149" s="23">
        <f t="shared" si="4"/>
        <v>780</v>
      </c>
      <c r="L149" s="21">
        <v>870829</v>
      </c>
      <c r="M149" s="49" t="s">
        <v>677</v>
      </c>
      <c r="N149" s="39"/>
    </row>
    <row r="150" spans="1:14" s="33" customFormat="1" ht="24" customHeight="1">
      <c r="A150" s="46">
        <v>139</v>
      </c>
      <c r="B150" s="18" t="s">
        <v>28</v>
      </c>
      <c r="C150" s="17" t="s">
        <v>578</v>
      </c>
      <c r="D150" s="24" t="s">
        <v>30</v>
      </c>
      <c r="E150" s="18" t="s">
        <v>579</v>
      </c>
      <c r="F150" s="18">
        <v>4538007065</v>
      </c>
      <c r="G150" s="18" t="s">
        <v>678</v>
      </c>
      <c r="H150" s="47">
        <v>4</v>
      </c>
      <c r="I150" s="48" t="s">
        <v>40</v>
      </c>
      <c r="J150" s="23">
        <v>93</v>
      </c>
      <c r="K150" s="23">
        <f t="shared" si="4"/>
        <v>372</v>
      </c>
      <c r="L150" s="21">
        <v>870829</v>
      </c>
      <c r="M150" s="49" t="s">
        <v>679</v>
      </c>
      <c r="N150" s="39"/>
    </row>
    <row r="151" spans="1:14" s="33" customFormat="1" ht="24" customHeight="1">
      <c r="A151" s="46">
        <v>140</v>
      </c>
      <c r="B151" s="18" t="s">
        <v>28</v>
      </c>
      <c r="C151" s="17" t="s">
        <v>680</v>
      </c>
      <c r="D151" s="24" t="s">
        <v>30</v>
      </c>
      <c r="E151" s="18" t="s">
        <v>681</v>
      </c>
      <c r="F151" s="18">
        <v>4538007064</v>
      </c>
      <c r="G151" s="18" t="s">
        <v>682</v>
      </c>
      <c r="H151" s="47">
        <v>2</v>
      </c>
      <c r="I151" s="48" t="s">
        <v>40</v>
      </c>
      <c r="J151" s="23">
        <v>41</v>
      </c>
      <c r="K151" s="23">
        <f t="shared" si="4"/>
        <v>82</v>
      </c>
      <c r="L151" s="21">
        <v>870829</v>
      </c>
      <c r="M151" s="49" t="s">
        <v>683</v>
      </c>
      <c r="N151" s="39"/>
    </row>
    <row r="152" spans="1:14" s="33" customFormat="1" ht="24" customHeight="1">
      <c r="A152" s="46">
        <v>141</v>
      </c>
      <c r="B152" s="18" t="s">
        <v>28</v>
      </c>
      <c r="C152" s="17" t="s">
        <v>684</v>
      </c>
      <c r="D152" s="24" t="s">
        <v>30</v>
      </c>
      <c r="E152" s="18" t="s">
        <v>685</v>
      </c>
      <c r="F152" s="18">
        <v>4538006885</v>
      </c>
      <c r="G152" s="18" t="s">
        <v>686</v>
      </c>
      <c r="H152" s="47">
        <v>2</v>
      </c>
      <c r="I152" s="48" t="s">
        <v>40</v>
      </c>
      <c r="J152" s="23">
        <v>1494</v>
      </c>
      <c r="K152" s="23">
        <f t="shared" si="4"/>
        <v>2988</v>
      </c>
      <c r="L152" s="21">
        <v>853710</v>
      </c>
      <c r="M152" s="49" t="s">
        <v>687</v>
      </c>
      <c r="N152" s="39"/>
    </row>
    <row r="153" spans="1:14" s="33" customFormat="1" ht="24" customHeight="1">
      <c r="A153" s="46">
        <v>142</v>
      </c>
      <c r="B153" s="18" t="s">
        <v>28</v>
      </c>
      <c r="C153" s="17" t="s">
        <v>688</v>
      </c>
      <c r="D153" s="24" t="s">
        <v>30</v>
      </c>
      <c r="E153" s="18" t="s">
        <v>689</v>
      </c>
      <c r="F153" s="18">
        <v>4538006244</v>
      </c>
      <c r="G153" s="18" t="s">
        <v>690</v>
      </c>
      <c r="H153" s="47">
        <v>4</v>
      </c>
      <c r="I153" s="48" t="s">
        <v>40</v>
      </c>
      <c r="J153" s="23">
        <v>41</v>
      </c>
      <c r="K153" s="23">
        <f t="shared" si="4"/>
        <v>164</v>
      </c>
      <c r="L153" s="21">
        <v>870829</v>
      </c>
      <c r="M153" s="49" t="s">
        <v>691</v>
      </c>
      <c r="N153" s="39"/>
    </row>
    <row r="154" spans="1:14" s="33" customFormat="1" ht="24" customHeight="1">
      <c r="A154" s="46">
        <v>143</v>
      </c>
      <c r="B154" s="18" t="s">
        <v>28</v>
      </c>
      <c r="C154" s="17" t="s">
        <v>207</v>
      </c>
      <c r="D154" s="24" t="s">
        <v>30</v>
      </c>
      <c r="E154" s="18" t="s">
        <v>692</v>
      </c>
      <c r="F154" s="18">
        <v>4535027036</v>
      </c>
      <c r="G154" s="18" t="s">
        <v>693</v>
      </c>
      <c r="H154" s="47">
        <v>2</v>
      </c>
      <c r="I154" s="48" t="s">
        <v>40</v>
      </c>
      <c r="J154" s="23">
        <v>43</v>
      </c>
      <c r="K154" s="23">
        <f t="shared" si="4"/>
        <v>86</v>
      </c>
      <c r="L154" s="21">
        <v>854430</v>
      </c>
      <c r="M154" s="49" t="s">
        <v>694</v>
      </c>
      <c r="N154" s="39"/>
    </row>
    <row r="155" spans="1:14" s="33" customFormat="1" ht="24" customHeight="1">
      <c r="A155" s="46">
        <v>144</v>
      </c>
      <c r="B155" s="18" t="s">
        <v>28</v>
      </c>
      <c r="C155" s="17" t="s">
        <v>207</v>
      </c>
      <c r="D155" s="24" t="s">
        <v>30</v>
      </c>
      <c r="E155" s="18" t="s">
        <v>695</v>
      </c>
      <c r="F155" s="18">
        <v>4535027035</v>
      </c>
      <c r="G155" s="18" t="s">
        <v>696</v>
      </c>
      <c r="H155" s="47">
        <v>2</v>
      </c>
      <c r="I155" s="48" t="s">
        <v>40</v>
      </c>
      <c r="J155" s="23">
        <v>40</v>
      </c>
      <c r="K155" s="23">
        <f t="shared" si="4"/>
        <v>80</v>
      </c>
      <c r="L155" s="21">
        <v>854430</v>
      </c>
      <c r="M155" s="49" t="s">
        <v>697</v>
      </c>
      <c r="N155" s="39"/>
    </row>
    <row r="156" spans="1:14" s="33" customFormat="1" ht="24" customHeight="1">
      <c r="A156" s="46">
        <v>145</v>
      </c>
      <c r="B156" s="18" t="s">
        <v>28</v>
      </c>
      <c r="C156" s="17" t="s">
        <v>207</v>
      </c>
      <c r="D156" s="24" t="s">
        <v>30</v>
      </c>
      <c r="E156" s="18" t="s">
        <v>698</v>
      </c>
      <c r="F156" s="18">
        <v>4535027034</v>
      </c>
      <c r="G156" s="18" t="s">
        <v>699</v>
      </c>
      <c r="H156" s="47">
        <v>2</v>
      </c>
      <c r="I156" s="48" t="s">
        <v>40</v>
      </c>
      <c r="J156" s="23">
        <v>64</v>
      </c>
      <c r="K156" s="23">
        <f t="shared" si="4"/>
        <v>128</v>
      </c>
      <c r="L156" s="21">
        <v>854430</v>
      </c>
      <c r="M156" s="49" t="s">
        <v>700</v>
      </c>
      <c r="N156" s="39"/>
    </row>
    <row r="157" spans="1:14" s="33" customFormat="1" ht="24" customHeight="1">
      <c r="A157" s="46">
        <v>146</v>
      </c>
      <c r="B157" s="18" t="s">
        <v>28</v>
      </c>
      <c r="C157" s="17" t="s">
        <v>701</v>
      </c>
      <c r="D157" s="24" t="s">
        <v>30</v>
      </c>
      <c r="E157" s="18" t="s">
        <v>702</v>
      </c>
      <c r="F157" s="18">
        <v>4513010116</v>
      </c>
      <c r="G157" s="18" t="s">
        <v>703</v>
      </c>
      <c r="H157" s="47">
        <v>3</v>
      </c>
      <c r="I157" s="48" t="s">
        <v>40</v>
      </c>
      <c r="J157" s="23">
        <v>49</v>
      </c>
      <c r="K157" s="23">
        <f t="shared" si="4"/>
        <v>147</v>
      </c>
      <c r="L157" s="21">
        <v>400921</v>
      </c>
      <c r="M157" s="49" t="s">
        <v>704</v>
      </c>
      <c r="N157" s="39"/>
    </row>
    <row r="158" spans="1:14" s="33" customFormat="1" ht="24" customHeight="1">
      <c r="A158" s="46">
        <v>147</v>
      </c>
      <c r="B158" s="18" t="s">
        <v>28</v>
      </c>
      <c r="C158" s="17" t="s">
        <v>705</v>
      </c>
      <c r="D158" s="24" t="s">
        <v>43</v>
      </c>
      <c r="E158" s="18" t="s">
        <v>706</v>
      </c>
      <c r="F158" s="18">
        <v>4513010115</v>
      </c>
      <c r="G158" s="18" t="s">
        <v>707</v>
      </c>
      <c r="H158" s="47">
        <v>3</v>
      </c>
      <c r="I158" s="48" t="s">
        <v>40</v>
      </c>
      <c r="J158" s="23">
        <v>14</v>
      </c>
      <c r="K158" s="23">
        <f t="shared" si="4"/>
        <v>42</v>
      </c>
      <c r="L158" s="21">
        <v>400921</v>
      </c>
      <c r="M158" s="49" t="s">
        <v>708</v>
      </c>
      <c r="N158" s="39"/>
    </row>
    <row r="159" spans="1:14" s="33" customFormat="1" ht="24" customHeight="1">
      <c r="A159" s="46">
        <v>148</v>
      </c>
      <c r="B159" s="18" t="s">
        <v>28</v>
      </c>
      <c r="C159" s="17" t="s">
        <v>709</v>
      </c>
      <c r="D159" s="24" t="s">
        <v>43</v>
      </c>
      <c r="E159" s="18" t="s">
        <v>710</v>
      </c>
      <c r="F159" s="18">
        <v>4513009147</v>
      </c>
      <c r="G159" s="18" t="s">
        <v>711</v>
      </c>
      <c r="H159" s="47">
        <v>3</v>
      </c>
      <c r="I159" s="48" t="s">
        <v>40</v>
      </c>
      <c r="J159" s="23">
        <v>7</v>
      </c>
      <c r="K159" s="23">
        <f t="shared" si="4"/>
        <v>21</v>
      </c>
      <c r="L159" s="21">
        <v>400921</v>
      </c>
      <c r="M159" s="49" t="s">
        <v>712</v>
      </c>
      <c r="N159" s="39"/>
    </row>
    <row r="160" spans="1:14" s="33" customFormat="1" ht="24" customHeight="1">
      <c r="A160" s="46">
        <v>149</v>
      </c>
      <c r="B160" s="18" t="s">
        <v>28</v>
      </c>
      <c r="C160" s="17" t="s">
        <v>713</v>
      </c>
      <c r="D160" s="24" t="s">
        <v>30</v>
      </c>
      <c r="E160" s="18" t="s">
        <v>714</v>
      </c>
      <c r="F160" s="18">
        <v>4513009138</v>
      </c>
      <c r="G160" s="18" t="s">
        <v>715</v>
      </c>
      <c r="H160" s="47">
        <v>3</v>
      </c>
      <c r="I160" s="48" t="s">
        <v>40</v>
      </c>
      <c r="J160" s="23">
        <v>9</v>
      </c>
      <c r="K160" s="23">
        <f t="shared" si="4"/>
        <v>27</v>
      </c>
      <c r="L160" s="21">
        <v>400921</v>
      </c>
      <c r="M160" s="49" t="s">
        <v>716</v>
      </c>
      <c r="N160" s="39"/>
    </row>
    <row r="161" spans="1:14" s="33" customFormat="1" ht="24" customHeight="1">
      <c r="A161" s="46">
        <v>150</v>
      </c>
      <c r="B161" s="18" t="s">
        <v>28</v>
      </c>
      <c r="C161" s="17" t="s">
        <v>713</v>
      </c>
      <c r="D161" s="24" t="s">
        <v>30</v>
      </c>
      <c r="E161" s="18" t="s">
        <v>714</v>
      </c>
      <c r="F161" s="18">
        <v>4513009137</v>
      </c>
      <c r="G161" s="18" t="s">
        <v>717</v>
      </c>
      <c r="H161" s="47">
        <v>3</v>
      </c>
      <c r="I161" s="48" t="s">
        <v>40</v>
      </c>
      <c r="J161" s="23">
        <v>7</v>
      </c>
      <c r="K161" s="23">
        <f t="shared" si="4"/>
        <v>21</v>
      </c>
      <c r="L161" s="21">
        <v>400921</v>
      </c>
      <c r="M161" s="49" t="s">
        <v>718</v>
      </c>
      <c r="N161" s="39"/>
    </row>
    <row r="162" spans="1:14" s="33" customFormat="1" ht="24" customHeight="1">
      <c r="A162" s="46">
        <v>151</v>
      </c>
      <c r="B162" s="18" t="s">
        <v>28</v>
      </c>
      <c r="C162" s="17" t="s">
        <v>719</v>
      </c>
      <c r="D162" s="24" t="s">
        <v>43</v>
      </c>
      <c r="E162" s="18" t="s">
        <v>720</v>
      </c>
      <c r="F162" s="18">
        <v>4513009133</v>
      </c>
      <c r="G162" s="18" t="s">
        <v>721</v>
      </c>
      <c r="H162" s="47">
        <v>3</v>
      </c>
      <c r="I162" s="48" t="s">
        <v>40</v>
      </c>
      <c r="J162" s="23">
        <v>36</v>
      </c>
      <c r="K162" s="23">
        <f t="shared" si="4"/>
        <v>108</v>
      </c>
      <c r="L162" s="21">
        <v>400921</v>
      </c>
      <c r="M162" s="49" t="s">
        <v>722</v>
      </c>
      <c r="N162" s="39"/>
    </row>
    <row r="163" spans="1:14" s="33" customFormat="1" ht="24" customHeight="1">
      <c r="A163" s="46">
        <v>152</v>
      </c>
      <c r="B163" s="18" t="s">
        <v>28</v>
      </c>
      <c r="C163" s="17" t="s">
        <v>723</v>
      </c>
      <c r="D163" s="24" t="s">
        <v>43</v>
      </c>
      <c r="E163" s="18" t="s">
        <v>724</v>
      </c>
      <c r="F163" s="18">
        <v>4513009132</v>
      </c>
      <c r="G163" s="18" t="s">
        <v>725</v>
      </c>
      <c r="H163" s="47">
        <v>3</v>
      </c>
      <c r="I163" s="48" t="s">
        <v>40</v>
      </c>
      <c r="J163" s="23">
        <v>10</v>
      </c>
      <c r="K163" s="23">
        <f t="shared" si="4"/>
        <v>30</v>
      </c>
      <c r="L163" s="21">
        <v>400921</v>
      </c>
      <c r="M163" s="49" t="s">
        <v>726</v>
      </c>
      <c r="N163" s="39"/>
    </row>
    <row r="164" spans="1:14" s="33" customFormat="1" ht="24" customHeight="1">
      <c r="A164" s="46">
        <v>153</v>
      </c>
      <c r="B164" s="18" t="s">
        <v>28</v>
      </c>
      <c r="C164" s="17" t="s">
        <v>727</v>
      </c>
      <c r="D164" s="24" t="s">
        <v>30</v>
      </c>
      <c r="E164" s="18" t="s">
        <v>728</v>
      </c>
      <c r="F164" s="18">
        <v>4513009131</v>
      </c>
      <c r="G164" s="18" t="s">
        <v>729</v>
      </c>
      <c r="H164" s="47">
        <v>3</v>
      </c>
      <c r="I164" s="48" t="s">
        <v>40</v>
      </c>
      <c r="J164" s="23">
        <v>91</v>
      </c>
      <c r="K164" s="23">
        <f t="shared" si="4"/>
        <v>273</v>
      </c>
      <c r="L164" s="21">
        <v>400921</v>
      </c>
      <c r="M164" s="49" t="s">
        <v>730</v>
      </c>
      <c r="N164" s="39"/>
    </row>
    <row r="165" spans="1:14" s="33" customFormat="1" ht="24" customHeight="1">
      <c r="A165" s="46">
        <v>154</v>
      </c>
      <c r="B165" s="18" t="s">
        <v>28</v>
      </c>
      <c r="C165" s="17" t="s">
        <v>731</v>
      </c>
      <c r="D165" s="24" t="s">
        <v>30</v>
      </c>
      <c r="E165" s="18" t="s">
        <v>732</v>
      </c>
      <c r="F165" s="18">
        <v>4513009130</v>
      </c>
      <c r="G165" s="18" t="s">
        <v>733</v>
      </c>
      <c r="H165" s="47">
        <v>3</v>
      </c>
      <c r="I165" s="48" t="s">
        <v>40</v>
      </c>
      <c r="J165" s="23">
        <v>69</v>
      </c>
      <c r="K165" s="23">
        <f t="shared" si="4"/>
        <v>207</v>
      </c>
      <c r="L165" s="21">
        <v>400921</v>
      </c>
      <c r="M165" s="49" t="s">
        <v>734</v>
      </c>
      <c r="N165" s="39"/>
    </row>
    <row r="166" spans="1:14" s="33" customFormat="1" ht="24" customHeight="1">
      <c r="A166" s="46">
        <v>155</v>
      </c>
      <c r="B166" s="18" t="s">
        <v>28</v>
      </c>
      <c r="C166" s="17" t="s">
        <v>735</v>
      </c>
      <c r="D166" s="24" t="s">
        <v>43</v>
      </c>
      <c r="E166" s="18" t="s">
        <v>736</v>
      </c>
      <c r="F166" s="18">
        <v>4513009128</v>
      </c>
      <c r="G166" s="18" t="s">
        <v>737</v>
      </c>
      <c r="H166" s="47">
        <v>3</v>
      </c>
      <c r="I166" s="48" t="s">
        <v>40</v>
      </c>
      <c r="J166" s="23">
        <v>13</v>
      </c>
      <c r="K166" s="23">
        <f t="shared" si="4"/>
        <v>39</v>
      </c>
      <c r="L166" s="21">
        <v>400921</v>
      </c>
      <c r="M166" s="49" t="s">
        <v>738</v>
      </c>
      <c r="N166" s="39"/>
    </row>
    <row r="167" spans="1:14" s="33" customFormat="1" ht="24" customHeight="1">
      <c r="A167" s="46">
        <v>156</v>
      </c>
      <c r="B167" s="18" t="s">
        <v>28</v>
      </c>
      <c r="C167" s="17" t="s">
        <v>739</v>
      </c>
      <c r="D167" s="24" t="s">
        <v>43</v>
      </c>
      <c r="E167" s="18" t="s">
        <v>740</v>
      </c>
      <c r="F167" s="18">
        <v>4513009126</v>
      </c>
      <c r="G167" s="18" t="s">
        <v>741</v>
      </c>
      <c r="H167" s="47">
        <v>3</v>
      </c>
      <c r="I167" s="48" t="s">
        <v>40</v>
      </c>
      <c r="J167" s="23">
        <v>16</v>
      </c>
      <c r="K167" s="23">
        <f t="shared" si="4"/>
        <v>48</v>
      </c>
      <c r="L167" s="21">
        <v>400921</v>
      </c>
      <c r="M167" s="49" t="s">
        <v>742</v>
      </c>
      <c r="N167" s="39"/>
    </row>
    <row r="168" spans="1:14" s="33" customFormat="1" ht="24" customHeight="1">
      <c r="A168" s="46">
        <v>157</v>
      </c>
      <c r="B168" s="18" t="s">
        <v>28</v>
      </c>
      <c r="C168" s="17" t="s">
        <v>743</v>
      </c>
      <c r="D168" s="24" t="s">
        <v>43</v>
      </c>
      <c r="E168" s="18" t="s">
        <v>744</v>
      </c>
      <c r="F168" s="18">
        <v>4513009125</v>
      </c>
      <c r="G168" s="18" t="s">
        <v>745</v>
      </c>
      <c r="H168" s="47">
        <v>3</v>
      </c>
      <c r="I168" s="48" t="s">
        <v>40</v>
      </c>
      <c r="J168" s="23">
        <v>16</v>
      </c>
      <c r="K168" s="23">
        <f t="shared" si="4"/>
        <v>48</v>
      </c>
      <c r="L168" s="21">
        <v>400921</v>
      </c>
      <c r="M168" s="49" t="s">
        <v>746</v>
      </c>
      <c r="N168" s="39"/>
    </row>
    <row r="169" spans="1:14" s="33" customFormat="1" ht="24" customHeight="1">
      <c r="A169" s="46">
        <v>158</v>
      </c>
      <c r="B169" s="18" t="s">
        <v>28</v>
      </c>
      <c r="C169" s="17" t="s">
        <v>747</v>
      </c>
      <c r="D169" s="24" t="s">
        <v>30</v>
      </c>
      <c r="E169" s="18" t="s">
        <v>748</v>
      </c>
      <c r="F169" s="18">
        <v>4513009121</v>
      </c>
      <c r="G169" s="18" t="s">
        <v>749</v>
      </c>
      <c r="H169" s="47">
        <v>3</v>
      </c>
      <c r="I169" s="48" t="s">
        <v>40</v>
      </c>
      <c r="J169" s="23">
        <v>16</v>
      </c>
      <c r="K169" s="23">
        <f t="shared" si="4"/>
        <v>48</v>
      </c>
      <c r="L169" s="21">
        <v>848410</v>
      </c>
      <c r="M169" s="49" t="s">
        <v>750</v>
      </c>
      <c r="N169" s="39"/>
    </row>
    <row r="170" spans="1:14" s="33" customFormat="1" ht="24" customHeight="1">
      <c r="A170" s="46">
        <v>159</v>
      </c>
      <c r="B170" s="18" t="s">
        <v>28</v>
      </c>
      <c r="C170" s="17" t="s">
        <v>751</v>
      </c>
      <c r="D170" s="24" t="s">
        <v>43</v>
      </c>
      <c r="E170" s="18" t="s">
        <v>752</v>
      </c>
      <c r="F170" s="18" t="s">
        <v>753</v>
      </c>
      <c r="G170" s="18" t="s">
        <v>754</v>
      </c>
      <c r="H170" s="47">
        <v>3</v>
      </c>
      <c r="I170" s="48" t="s">
        <v>40</v>
      </c>
      <c r="J170" s="23">
        <v>63</v>
      </c>
      <c r="K170" s="23">
        <f t="shared" si="4"/>
        <v>189</v>
      </c>
      <c r="L170" s="21">
        <v>400921</v>
      </c>
      <c r="M170" s="49" t="s">
        <v>755</v>
      </c>
      <c r="N170" s="39"/>
    </row>
    <row r="171" spans="1:14" s="33" customFormat="1" ht="24" customHeight="1">
      <c r="A171" s="46">
        <v>160</v>
      </c>
      <c r="B171" s="18" t="s">
        <v>28</v>
      </c>
      <c r="C171" s="17" t="s">
        <v>756</v>
      </c>
      <c r="D171" s="24" t="s">
        <v>30</v>
      </c>
      <c r="E171" s="18" t="s">
        <v>757</v>
      </c>
      <c r="F171" s="18" t="s">
        <v>758</v>
      </c>
      <c r="G171" s="18" t="s">
        <v>759</v>
      </c>
      <c r="H171" s="47">
        <v>3</v>
      </c>
      <c r="I171" s="48" t="s">
        <v>40</v>
      </c>
      <c r="J171" s="23">
        <v>7</v>
      </c>
      <c r="K171" s="23">
        <f t="shared" si="4"/>
        <v>21</v>
      </c>
      <c r="L171" s="21">
        <v>400921</v>
      </c>
      <c r="M171" s="49" t="s">
        <v>760</v>
      </c>
      <c r="N171" s="39"/>
    </row>
    <row r="172" spans="1:14" s="33" customFormat="1" ht="24" customHeight="1">
      <c r="A172" s="46">
        <v>161</v>
      </c>
      <c r="B172" s="18" t="s">
        <v>28</v>
      </c>
      <c r="C172" s="17" t="s">
        <v>761</v>
      </c>
      <c r="D172" s="24" t="s">
        <v>30</v>
      </c>
      <c r="E172" s="18" t="s">
        <v>762</v>
      </c>
      <c r="F172" s="18" t="s">
        <v>763</v>
      </c>
      <c r="G172" s="18" t="s">
        <v>764</v>
      </c>
      <c r="H172" s="47">
        <v>3</v>
      </c>
      <c r="I172" s="48" t="s">
        <v>40</v>
      </c>
      <c r="J172" s="23">
        <v>21</v>
      </c>
      <c r="K172" s="23">
        <f t="shared" si="4"/>
        <v>63</v>
      </c>
      <c r="L172" s="21">
        <v>400921</v>
      </c>
      <c r="M172" s="49" t="s">
        <v>765</v>
      </c>
      <c r="N172" s="39"/>
    </row>
    <row r="173" spans="1:14" s="33" customFormat="1" ht="24" customHeight="1">
      <c r="A173" s="46">
        <v>162</v>
      </c>
      <c r="B173" s="18" t="s">
        <v>28</v>
      </c>
      <c r="C173" s="17" t="s">
        <v>493</v>
      </c>
      <c r="D173" s="24" t="s">
        <v>30</v>
      </c>
      <c r="E173" s="18" t="s">
        <v>766</v>
      </c>
      <c r="F173" s="18" t="s">
        <v>767</v>
      </c>
      <c r="G173" s="18" t="s">
        <v>768</v>
      </c>
      <c r="H173" s="47">
        <v>3</v>
      </c>
      <c r="I173" s="48" t="s">
        <v>40</v>
      </c>
      <c r="J173" s="23">
        <v>26</v>
      </c>
      <c r="K173" s="23">
        <f t="shared" ref="K173:K190" si="5">H173*J173</f>
        <v>78</v>
      </c>
      <c r="L173" s="21">
        <v>400921</v>
      </c>
      <c r="M173" s="49" t="s">
        <v>769</v>
      </c>
      <c r="N173" s="39"/>
    </row>
    <row r="174" spans="1:14" s="33" customFormat="1" ht="24" customHeight="1">
      <c r="A174" s="46">
        <v>163</v>
      </c>
      <c r="B174" s="18" t="s">
        <v>28</v>
      </c>
      <c r="C174" s="17" t="s">
        <v>770</v>
      </c>
      <c r="D174" s="24" t="s">
        <v>30</v>
      </c>
      <c r="E174" s="18" t="s">
        <v>771</v>
      </c>
      <c r="F174" s="18" t="s">
        <v>772</v>
      </c>
      <c r="G174" s="18" t="s">
        <v>773</v>
      </c>
      <c r="H174" s="47">
        <v>3</v>
      </c>
      <c r="I174" s="48" t="s">
        <v>40</v>
      </c>
      <c r="J174" s="23">
        <v>29</v>
      </c>
      <c r="K174" s="23">
        <f t="shared" si="5"/>
        <v>87</v>
      </c>
      <c r="L174" s="21">
        <v>400921</v>
      </c>
      <c r="M174" s="49" t="s">
        <v>774</v>
      </c>
      <c r="N174" s="39"/>
    </row>
    <row r="175" spans="1:14" s="33" customFormat="1" ht="24" customHeight="1">
      <c r="A175" s="46">
        <v>164</v>
      </c>
      <c r="B175" s="18" t="s">
        <v>28</v>
      </c>
      <c r="C175" s="17" t="s">
        <v>775</v>
      </c>
      <c r="D175" s="24" t="s">
        <v>30</v>
      </c>
      <c r="E175" s="18" t="s">
        <v>776</v>
      </c>
      <c r="F175" s="18" t="s">
        <v>777</v>
      </c>
      <c r="G175" s="18" t="s">
        <v>778</v>
      </c>
      <c r="H175" s="47">
        <v>3</v>
      </c>
      <c r="I175" s="48" t="s">
        <v>40</v>
      </c>
      <c r="J175" s="23">
        <v>29</v>
      </c>
      <c r="K175" s="23">
        <f t="shared" si="5"/>
        <v>87</v>
      </c>
      <c r="L175" s="21">
        <v>400921</v>
      </c>
      <c r="M175" s="49" t="s">
        <v>779</v>
      </c>
      <c r="N175" s="39"/>
    </row>
    <row r="176" spans="1:14" s="33" customFormat="1" ht="24" customHeight="1">
      <c r="A176" s="46">
        <v>165</v>
      </c>
      <c r="B176" s="18" t="s">
        <v>28</v>
      </c>
      <c r="C176" s="17" t="s">
        <v>90</v>
      </c>
      <c r="D176" s="24" t="s">
        <v>30</v>
      </c>
      <c r="E176" s="18" t="s">
        <v>780</v>
      </c>
      <c r="F176" s="18" t="s">
        <v>781</v>
      </c>
      <c r="G176" s="18" t="s">
        <v>782</v>
      </c>
      <c r="H176" s="47">
        <v>3</v>
      </c>
      <c r="I176" s="48" t="s">
        <v>40</v>
      </c>
      <c r="J176" s="23">
        <v>30</v>
      </c>
      <c r="K176" s="23">
        <f t="shared" si="5"/>
        <v>90</v>
      </c>
      <c r="L176" s="21">
        <v>853690</v>
      </c>
      <c r="M176" s="49" t="s">
        <v>783</v>
      </c>
      <c r="N176" s="39"/>
    </row>
    <row r="177" spans="1:15 16383:16383" s="33" customFormat="1" ht="24" customHeight="1">
      <c r="A177" s="46">
        <v>166</v>
      </c>
      <c r="B177" s="18" t="s">
        <v>28</v>
      </c>
      <c r="C177" s="17" t="s">
        <v>784</v>
      </c>
      <c r="D177" s="24" t="s">
        <v>30</v>
      </c>
      <c r="E177" s="18" t="s">
        <v>785</v>
      </c>
      <c r="F177" s="18" t="s">
        <v>786</v>
      </c>
      <c r="G177" s="18" t="s">
        <v>787</v>
      </c>
      <c r="H177" s="47">
        <v>5</v>
      </c>
      <c r="I177" s="48" t="s">
        <v>40</v>
      </c>
      <c r="J177" s="23">
        <v>11</v>
      </c>
      <c r="K177" s="23">
        <f t="shared" si="5"/>
        <v>55</v>
      </c>
      <c r="L177" s="21">
        <v>853710</v>
      </c>
      <c r="M177" s="49" t="s">
        <v>788</v>
      </c>
      <c r="N177" s="39"/>
    </row>
    <row r="178" spans="1:15 16383:16383" s="33" customFormat="1" ht="24" customHeight="1">
      <c r="A178" s="46">
        <v>167</v>
      </c>
      <c r="B178" s="18" t="s">
        <v>28</v>
      </c>
      <c r="C178" s="17" t="s">
        <v>789</v>
      </c>
      <c r="D178" s="24" t="s">
        <v>30</v>
      </c>
      <c r="E178" s="18" t="s">
        <v>790</v>
      </c>
      <c r="F178" s="18" t="s">
        <v>791</v>
      </c>
      <c r="G178" s="18" t="s">
        <v>792</v>
      </c>
      <c r="H178" s="47">
        <v>5</v>
      </c>
      <c r="I178" s="48" t="s">
        <v>40</v>
      </c>
      <c r="J178" s="23">
        <v>11</v>
      </c>
      <c r="K178" s="23">
        <f t="shared" si="5"/>
        <v>55</v>
      </c>
      <c r="L178" s="21">
        <v>853710</v>
      </c>
      <c r="M178" s="49" t="s">
        <v>793</v>
      </c>
      <c r="N178" s="39"/>
    </row>
    <row r="179" spans="1:15 16383:16383" s="33" customFormat="1" ht="24" customHeight="1">
      <c r="A179" s="46">
        <v>168</v>
      </c>
      <c r="B179" s="18" t="s">
        <v>28</v>
      </c>
      <c r="C179" s="17" t="s">
        <v>794</v>
      </c>
      <c r="D179" s="24" t="s">
        <v>30</v>
      </c>
      <c r="E179" s="18" t="s">
        <v>795</v>
      </c>
      <c r="F179" s="18" t="s">
        <v>796</v>
      </c>
      <c r="G179" s="18" t="s">
        <v>797</v>
      </c>
      <c r="H179" s="47">
        <v>5</v>
      </c>
      <c r="I179" s="48" t="s">
        <v>40</v>
      </c>
      <c r="J179" s="23">
        <v>11</v>
      </c>
      <c r="K179" s="23">
        <f t="shared" si="5"/>
        <v>55</v>
      </c>
      <c r="L179" s="21">
        <v>853710</v>
      </c>
      <c r="M179" s="49" t="s">
        <v>798</v>
      </c>
      <c r="N179" s="39"/>
    </row>
    <row r="180" spans="1:15 16383:16383" s="33" customFormat="1" ht="24" customHeight="1">
      <c r="A180" s="46">
        <v>169</v>
      </c>
      <c r="B180" s="18" t="s">
        <v>28</v>
      </c>
      <c r="C180" s="17" t="s">
        <v>799</v>
      </c>
      <c r="D180" s="24" t="s">
        <v>30</v>
      </c>
      <c r="E180" s="18" t="s">
        <v>800</v>
      </c>
      <c r="F180" s="18" t="s">
        <v>801</v>
      </c>
      <c r="G180" s="18" t="s">
        <v>802</v>
      </c>
      <c r="H180" s="47">
        <v>5</v>
      </c>
      <c r="I180" s="48" t="s">
        <v>40</v>
      </c>
      <c r="J180" s="23">
        <v>11</v>
      </c>
      <c r="K180" s="23">
        <f t="shared" si="5"/>
        <v>55</v>
      </c>
      <c r="L180" s="21">
        <v>853710</v>
      </c>
      <c r="M180" s="49" t="s">
        <v>803</v>
      </c>
      <c r="N180" s="39"/>
    </row>
    <row r="181" spans="1:15 16383:16383" s="33" customFormat="1" ht="24" customHeight="1">
      <c r="A181" s="46">
        <v>170</v>
      </c>
      <c r="B181" s="18" t="s">
        <v>28</v>
      </c>
      <c r="C181" s="17" t="s">
        <v>804</v>
      </c>
      <c r="D181" s="24" t="s">
        <v>30</v>
      </c>
      <c r="E181" s="18" t="s">
        <v>805</v>
      </c>
      <c r="F181" s="18" t="s">
        <v>806</v>
      </c>
      <c r="G181" s="18" t="s">
        <v>807</v>
      </c>
      <c r="H181" s="47">
        <v>1</v>
      </c>
      <c r="I181" s="48" t="s">
        <v>34</v>
      </c>
      <c r="J181" s="23">
        <v>170</v>
      </c>
      <c r="K181" s="23">
        <f t="shared" si="5"/>
        <v>170</v>
      </c>
      <c r="L181" s="21">
        <v>853710</v>
      </c>
      <c r="M181" s="49" t="s">
        <v>808</v>
      </c>
      <c r="N181" s="39"/>
    </row>
    <row r="182" spans="1:15 16383:16383" s="33" customFormat="1" ht="24" customHeight="1">
      <c r="A182" s="46">
        <v>171</v>
      </c>
      <c r="B182" s="18" t="s">
        <v>28</v>
      </c>
      <c r="C182" s="17" t="s">
        <v>809</v>
      </c>
      <c r="D182" s="24" t="s">
        <v>30</v>
      </c>
      <c r="E182" s="18" t="s">
        <v>810</v>
      </c>
      <c r="F182" s="18" t="s">
        <v>811</v>
      </c>
      <c r="G182" s="18" t="s">
        <v>812</v>
      </c>
      <c r="H182" s="47">
        <v>3</v>
      </c>
      <c r="I182" s="48" t="s">
        <v>40</v>
      </c>
      <c r="J182" s="23">
        <v>376</v>
      </c>
      <c r="K182" s="23">
        <f t="shared" si="5"/>
        <v>1128</v>
      </c>
      <c r="L182" s="21">
        <v>870870</v>
      </c>
      <c r="M182" s="49" t="s">
        <v>813</v>
      </c>
      <c r="N182" s="39"/>
    </row>
    <row r="183" spans="1:15 16383:16383" s="33" customFormat="1" ht="24" customHeight="1">
      <c r="A183" s="46">
        <v>172</v>
      </c>
      <c r="B183" s="18" t="s">
        <v>28</v>
      </c>
      <c r="C183" s="17" t="s">
        <v>814</v>
      </c>
      <c r="D183" s="24" t="s">
        <v>30</v>
      </c>
      <c r="E183" s="18" t="s">
        <v>815</v>
      </c>
      <c r="F183" s="18" t="s">
        <v>816</v>
      </c>
      <c r="G183" s="18" t="s">
        <v>817</v>
      </c>
      <c r="H183" s="47">
        <v>5</v>
      </c>
      <c r="I183" s="48" t="s">
        <v>40</v>
      </c>
      <c r="J183" s="23">
        <v>75</v>
      </c>
      <c r="K183" s="23">
        <f t="shared" si="5"/>
        <v>375</v>
      </c>
      <c r="L183" s="21">
        <v>848230</v>
      </c>
      <c r="M183" s="49" t="s">
        <v>818</v>
      </c>
      <c r="N183" s="39"/>
    </row>
    <row r="184" spans="1:15 16383:16383" s="33" customFormat="1" ht="24" customHeight="1">
      <c r="A184" s="46">
        <v>173</v>
      </c>
      <c r="B184" s="18" t="s">
        <v>28</v>
      </c>
      <c r="C184" s="17" t="s">
        <v>819</v>
      </c>
      <c r="D184" s="24" t="s">
        <v>30</v>
      </c>
      <c r="E184" s="18" t="s">
        <v>820</v>
      </c>
      <c r="F184" s="18" t="s">
        <v>821</v>
      </c>
      <c r="G184" s="18" t="s">
        <v>822</v>
      </c>
      <c r="H184" s="47">
        <v>5</v>
      </c>
      <c r="I184" s="48" t="s">
        <v>40</v>
      </c>
      <c r="J184" s="23">
        <v>10</v>
      </c>
      <c r="K184" s="23">
        <f t="shared" si="5"/>
        <v>50</v>
      </c>
      <c r="L184" s="21">
        <v>401699</v>
      </c>
      <c r="M184" s="49" t="s">
        <v>823</v>
      </c>
      <c r="N184" s="39"/>
    </row>
    <row r="185" spans="1:15 16383:16383" s="33" customFormat="1" ht="24" customHeight="1">
      <c r="A185" s="46">
        <v>174</v>
      </c>
      <c r="B185" s="18" t="s">
        <v>28</v>
      </c>
      <c r="C185" s="17" t="s">
        <v>824</v>
      </c>
      <c r="D185" s="24" t="s">
        <v>30</v>
      </c>
      <c r="E185" s="18" t="s">
        <v>825</v>
      </c>
      <c r="F185" s="18" t="s">
        <v>826</v>
      </c>
      <c r="G185" s="18" t="s">
        <v>827</v>
      </c>
      <c r="H185" s="47">
        <v>2</v>
      </c>
      <c r="I185" s="48" t="s">
        <v>40</v>
      </c>
      <c r="J185" s="23">
        <v>110</v>
      </c>
      <c r="K185" s="23">
        <f t="shared" si="5"/>
        <v>220</v>
      </c>
      <c r="L185" s="21">
        <v>830220</v>
      </c>
      <c r="M185" s="49" t="s">
        <v>828</v>
      </c>
      <c r="N185" s="39"/>
    </row>
    <row r="186" spans="1:15 16383:16383" s="33" customFormat="1" ht="24" customHeight="1">
      <c r="A186" s="46">
        <v>175</v>
      </c>
      <c r="B186" s="18" t="s">
        <v>28</v>
      </c>
      <c r="C186" s="17" t="s">
        <v>829</v>
      </c>
      <c r="D186" s="24" t="s">
        <v>30</v>
      </c>
      <c r="E186" s="18" t="s">
        <v>830</v>
      </c>
      <c r="F186" s="18" t="s">
        <v>831</v>
      </c>
      <c r="G186" s="18" t="s">
        <v>832</v>
      </c>
      <c r="H186" s="47">
        <v>2</v>
      </c>
      <c r="I186" s="48" t="s">
        <v>40</v>
      </c>
      <c r="J186" s="23">
        <v>110</v>
      </c>
      <c r="K186" s="23">
        <f t="shared" si="5"/>
        <v>220</v>
      </c>
      <c r="L186" s="21">
        <v>830220</v>
      </c>
      <c r="M186" s="49" t="s">
        <v>833</v>
      </c>
      <c r="N186" s="39"/>
    </row>
    <row r="187" spans="1:15 16383:16383" s="33" customFormat="1" ht="24" customHeight="1">
      <c r="A187" s="46">
        <v>176</v>
      </c>
      <c r="B187" s="18" t="s">
        <v>28</v>
      </c>
      <c r="C187" s="17" t="s">
        <v>819</v>
      </c>
      <c r="D187" s="24" t="s">
        <v>30</v>
      </c>
      <c r="E187" s="18" t="s">
        <v>834</v>
      </c>
      <c r="F187" s="18" t="s">
        <v>835</v>
      </c>
      <c r="G187" s="18" t="s">
        <v>836</v>
      </c>
      <c r="H187" s="47">
        <v>5</v>
      </c>
      <c r="I187" s="48" t="s">
        <v>40</v>
      </c>
      <c r="J187" s="23">
        <v>15</v>
      </c>
      <c r="K187" s="23">
        <f t="shared" si="5"/>
        <v>75</v>
      </c>
      <c r="L187" s="21">
        <v>401699</v>
      </c>
      <c r="M187" s="49" t="s">
        <v>837</v>
      </c>
      <c r="N187" s="39"/>
    </row>
    <row r="188" spans="1:15 16383:16383" s="33" customFormat="1" ht="24" customHeight="1">
      <c r="A188" s="46">
        <v>177</v>
      </c>
      <c r="B188" s="18" t="s">
        <v>28</v>
      </c>
      <c r="C188" s="17" t="s">
        <v>838</v>
      </c>
      <c r="D188" s="24" t="s">
        <v>30</v>
      </c>
      <c r="E188" s="18" t="s">
        <v>839</v>
      </c>
      <c r="F188" s="18" t="s">
        <v>840</v>
      </c>
      <c r="G188" s="18" t="s">
        <v>841</v>
      </c>
      <c r="H188" s="47">
        <v>2</v>
      </c>
      <c r="I188" s="48" t="s">
        <v>40</v>
      </c>
      <c r="J188" s="23">
        <v>360</v>
      </c>
      <c r="K188" s="23">
        <f t="shared" si="5"/>
        <v>720</v>
      </c>
      <c r="L188" s="21">
        <v>853720</v>
      </c>
      <c r="M188" s="49" t="s">
        <v>842</v>
      </c>
      <c r="N188" s="39"/>
    </row>
    <row r="189" spans="1:15 16383:16383" s="33" customFormat="1" ht="24" customHeight="1">
      <c r="A189" s="46">
        <v>178</v>
      </c>
      <c r="B189" s="18" t="s">
        <v>28</v>
      </c>
      <c r="C189" s="17" t="s">
        <v>843</v>
      </c>
      <c r="D189" s="24" t="s">
        <v>30</v>
      </c>
      <c r="E189" s="18" t="s">
        <v>844</v>
      </c>
      <c r="F189" s="18" t="s">
        <v>845</v>
      </c>
      <c r="G189" s="18" t="s">
        <v>846</v>
      </c>
      <c r="H189" s="47">
        <v>2</v>
      </c>
      <c r="I189" s="48" t="s">
        <v>40</v>
      </c>
      <c r="J189" s="23">
        <v>19</v>
      </c>
      <c r="K189" s="23">
        <f t="shared" si="5"/>
        <v>38</v>
      </c>
      <c r="L189" s="21">
        <v>870821</v>
      </c>
      <c r="M189" s="49" t="s">
        <v>847</v>
      </c>
      <c r="N189" s="39"/>
    </row>
    <row r="190" spans="1:15 16383:16383" s="33" customFormat="1" ht="24" customHeight="1">
      <c r="A190" s="46">
        <v>179</v>
      </c>
      <c r="B190" s="18" t="s">
        <v>848</v>
      </c>
      <c r="C190" s="17" t="s">
        <v>849</v>
      </c>
      <c r="D190" s="24" t="s">
        <v>30</v>
      </c>
      <c r="E190" s="18" t="s">
        <v>850</v>
      </c>
      <c r="F190" s="18" t="s">
        <v>851</v>
      </c>
      <c r="G190" s="18" t="s">
        <v>852</v>
      </c>
      <c r="H190" s="47">
        <v>2</v>
      </c>
      <c r="I190" s="48" t="s">
        <v>40</v>
      </c>
      <c r="J190" s="23">
        <v>650.88</v>
      </c>
      <c r="K190" s="23">
        <f t="shared" si="5"/>
        <v>1301.76</v>
      </c>
      <c r="L190" s="21">
        <v>851150</v>
      </c>
      <c r="M190" s="49" t="s">
        <v>853</v>
      </c>
      <c r="N190" s="39"/>
    </row>
    <row r="191" spans="1:15 16383:16383" ht="24.95" customHeight="1">
      <c r="A191" s="46"/>
      <c r="B191" s="50"/>
      <c r="C191" s="50"/>
      <c r="D191" s="50"/>
      <c r="E191" s="50"/>
      <c r="F191" s="126" t="s">
        <v>854</v>
      </c>
      <c r="G191" s="126"/>
      <c r="H191" s="51">
        <f>SUM(H12:H190)</f>
        <v>829</v>
      </c>
      <c r="I191" s="50"/>
      <c r="J191" s="52"/>
      <c r="K191" s="23">
        <f>SUM(K12:K190)</f>
        <v>87006.76</v>
      </c>
      <c r="L191" s="49"/>
      <c r="M191" s="49"/>
      <c r="XFC191" s="32"/>
    </row>
    <row r="192" spans="1:15 16383:16383" ht="24.95" customHeight="1">
      <c r="A192" s="118" t="s">
        <v>860</v>
      </c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27"/>
      <c r="N192" s="41"/>
      <c r="O192" s="42"/>
      <c r="XFC192" s="32"/>
    </row>
  </sheetData>
  <mergeCells count="20">
    <mergeCell ref="A9:G9"/>
    <mergeCell ref="A11:M11"/>
    <mergeCell ref="F191:G191"/>
    <mergeCell ref="A192:M192"/>
    <mergeCell ref="H9:H10"/>
    <mergeCell ref="I9:I10"/>
    <mergeCell ref="L9:L10"/>
    <mergeCell ref="M9:M10"/>
    <mergeCell ref="A6:J6"/>
    <mergeCell ref="A7:G7"/>
    <mergeCell ref="K7:M7"/>
    <mergeCell ref="A8:G8"/>
    <mergeCell ref="K8:M8"/>
    <mergeCell ref="K1:M6"/>
    <mergeCell ref="H7:J8"/>
    <mergeCell ref="A1:J1"/>
    <mergeCell ref="A2:J2"/>
    <mergeCell ref="A3:J3"/>
    <mergeCell ref="A4:J4"/>
    <mergeCell ref="A5:J5"/>
  </mergeCells>
  <pageMargins left="0.196527777777778" right="0" top="0.196527777777778" bottom="0.31458333333333299" header="0.156944444444444" footer="0.23611111111111099"/>
  <pageSetup paperSize="9" scale="85" orientation="landscape" horizontalDpi="1200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VH193"/>
  <sheetViews>
    <sheetView zoomScale="115" zoomScaleNormal="115" workbookViewId="0">
      <selection activeCell="F189" sqref="F189"/>
    </sheetView>
  </sheetViews>
  <sheetFormatPr defaultColWidth="8.75" defaultRowHeight="21" customHeight="1"/>
  <cols>
    <col min="1" max="1" width="3.75" style="1" customWidth="1"/>
    <col min="2" max="2" width="12.125" style="1" customWidth="1"/>
    <col min="3" max="3" width="30.5" style="2" customWidth="1"/>
    <col min="4" max="4" width="8.5" style="3" customWidth="1"/>
    <col min="5" max="5" width="20.25" style="4" customWidth="1"/>
    <col min="6" max="6" width="25.75" style="2" customWidth="1"/>
    <col min="7" max="7" width="14.125" style="2" customWidth="1"/>
    <col min="8" max="8" width="5.5" style="5" customWidth="1"/>
    <col min="9" max="9" width="6.125" style="5" customWidth="1"/>
    <col min="10" max="10" width="7.125" style="6" customWidth="1"/>
    <col min="11" max="11" width="7.625" style="5" customWidth="1"/>
    <col min="12" max="12" width="8.375" style="5" customWidth="1"/>
    <col min="13" max="13" width="6.75" style="5" customWidth="1"/>
    <col min="14" max="14" width="13.125" style="7" customWidth="1"/>
    <col min="15" max="251" width="8.75" style="1"/>
    <col min="252" max="252" width="3.75" style="1" customWidth="1"/>
    <col min="253" max="256" width="8.75" style="1" hidden="1" customWidth="1"/>
    <col min="257" max="257" width="26" style="1" customWidth="1"/>
    <col min="258" max="258" width="24.375" style="1" customWidth="1"/>
    <col min="259" max="259" width="5.75" style="1" customWidth="1"/>
    <col min="260" max="260" width="5.25" style="1" customWidth="1"/>
    <col min="261" max="261" width="8" style="1" customWidth="1"/>
    <col min="262" max="262" width="6.625" style="1" customWidth="1"/>
    <col min="263" max="263" width="6.75" style="1" customWidth="1"/>
    <col min="264" max="264" width="5.625" style="1" customWidth="1"/>
    <col min="265" max="265" width="12.375" style="1" customWidth="1"/>
    <col min="266" max="270" width="9" style="1" customWidth="1"/>
    <col min="271" max="507" width="8.75" style="1"/>
    <col min="508" max="508" width="3.75" style="1" customWidth="1"/>
    <col min="509" max="512" width="8.75" style="1" hidden="1" customWidth="1"/>
    <col min="513" max="513" width="26" style="1" customWidth="1"/>
    <col min="514" max="514" width="24.375" style="1" customWidth="1"/>
    <col min="515" max="515" width="5.75" style="1" customWidth="1"/>
    <col min="516" max="516" width="5.25" style="1" customWidth="1"/>
    <col min="517" max="517" width="8" style="1" customWidth="1"/>
    <col min="518" max="518" width="6.625" style="1" customWidth="1"/>
    <col min="519" max="519" width="6.75" style="1" customWidth="1"/>
    <col min="520" max="520" width="5.625" style="1" customWidth="1"/>
    <col min="521" max="521" width="12.375" style="1" customWidth="1"/>
    <col min="522" max="526" width="9" style="1" customWidth="1"/>
    <col min="527" max="763" width="8.75" style="1"/>
    <col min="764" max="764" width="3.75" style="1" customWidth="1"/>
    <col min="765" max="768" width="8.75" style="1" hidden="1" customWidth="1"/>
    <col min="769" max="769" width="26" style="1" customWidth="1"/>
    <col min="770" max="770" width="24.375" style="1" customWidth="1"/>
    <col min="771" max="771" width="5.75" style="1" customWidth="1"/>
    <col min="772" max="772" width="5.25" style="1" customWidth="1"/>
    <col min="773" max="773" width="8" style="1" customWidth="1"/>
    <col min="774" max="774" width="6.625" style="1" customWidth="1"/>
    <col min="775" max="775" width="6.75" style="1" customWidth="1"/>
    <col min="776" max="776" width="5.625" style="1" customWidth="1"/>
    <col min="777" max="777" width="12.375" style="1" customWidth="1"/>
    <col min="778" max="782" width="9" style="1" customWidth="1"/>
    <col min="783" max="1019" width="8.75" style="1"/>
    <col min="1020" max="1020" width="3.75" style="1" customWidth="1"/>
    <col min="1021" max="1024" width="8.75" style="1" hidden="1" customWidth="1"/>
    <col min="1025" max="1025" width="26" style="1" customWidth="1"/>
    <col min="1026" max="1026" width="24.375" style="1" customWidth="1"/>
    <col min="1027" max="1027" width="5.75" style="1" customWidth="1"/>
    <col min="1028" max="1028" width="5.25" style="1" customWidth="1"/>
    <col min="1029" max="1029" width="8" style="1" customWidth="1"/>
    <col min="1030" max="1030" width="6.625" style="1" customWidth="1"/>
    <col min="1031" max="1031" width="6.75" style="1" customWidth="1"/>
    <col min="1032" max="1032" width="5.625" style="1" customWidth="1"/>
    <col min="1033" max="1033" width="12.375" style="1" customWidth="1"/>
    <col min="1034" max="1038" width="9" style="1" customWidth="1"/>
    <col min="1039" max="1275" width="8.75" style="1"/>
    <col min="1276" max="1276" width="3.75" style="1" customWidth="1"/>
    <col min="1277" max="1280" width="8.75" style="1" hidden="1" customWidth="1"/>
    <col min="1281" max="1281" width="26" style="1" customWidth="1"/>
    <col min="1282" max="1282" width="24.375" style="1" customWidth="1"/>
    <col min="1283" max="1283" width="5.75" style="1" customWidth="1"/>
    <col min="1284" max="1284" width="5.25" style="1" customWidth="1"/>
    <col min="1285" max="1285" width="8" style="1" customWidth="1"/>
    <col min="1286" max="1286" width="6.625" style="1" customWidth="1"/>
    <col min="1287" max="1287" width="6.75" style="1" customWidth="1"/>
    <col min="1288" max="1288" width="5.625" style="1" customWidth="1"/>
    <col min="1289" max="1289" width="12.375" style="1" customWidth="1"/>
    <col min="1290" max="1294" width="9" style="1" customWidth="1"/>
    <col min="1295" max="1531" width="8.75" style="1"/>
    <col min="1532" max="1532" width="3.75" style="1" customWidth="1"/>
    <col min="1533" max="1536" width="8.75" style="1" hidden="1" customWidth="1"/>
    <col min="1537" max="1537" width="26" style="1" customWidth="1"/>
    <col min="1538" max="1538" width="24.375" style="1" customWidth="1"/>
    <col min="1539" max="1539" width="5.75" style="1" customWidth="1"/>
    <col min="1540" max="1540" width="5.25" style="1" customWidth="1"/>
    <col min="1541" max="1541" width="8" style="1" customWidth="1"/>
    <col min="1542" max="1542" width="6.625" style="1" customWidth="1"/>
    <col min="1543" max="1543" width="6.75" style="1" customWidth="1"/>
    <col min="1544" max="1544" width="5.625" style="1" customWidth="1"/>
    <col min="1545" max="1545" width="12.375" style="1" customWidth="1"/>
    <col min="1546" max="1550" width="9" style="1" customWidth="1"/>
    <col min="1551" max="1787" width="8.75" style="1"/>
    <col min="1788" max="1788" width="3.75" style="1" customWidth="1"/>
    <col min="1789" max="1792" width="8.75" style="1" hidden="1" customWidth="1"/>
    <col min="1793" max="1793" width="26" style="1" customWidth="1"/>
    <col min="1794" max="1794" width="24.375" style="1" customWidth="1"/>
    <col min="1795" max="1795" width="5.75" style="1" customWidth="1"/>
    <col min="1796" max="1796" width="5.25" style="1" customWidth="1"/>
    <col min="1797" max="1797" width="8" style="1" customWidth="1"/>
    <col min="1798" max="1798" width="6.625" style="1" customWidth="1"/>
    <col min="1799" max="1799" width="6.75" style="1" customWidth="1"/>
    <col min="1800" max="1800" width="5.625" style="1" customWidth="1"/>
    <col min="1801" max="1801" width="12.375" style="1" customWidth="1"/>
    <col min="1802" max="1806" width="9" style="1" customWidth="1"/>
    <col min="1807" max="2043" width="8.75" style="1"/>
    <col min="2044" max="2044" width="3.75" style="1" customWidth="1"/>
    <col min="2045" max="2048" width="8.75" style="1" hidden="1" customWidth="1"/>
    <col min="2049" max="2049" width="26" style="1" customWidth="1"/>
    <col min="2050" max="2050" width="24.375" style="1" customWidth="1"/>
    <col min="2051" max="2051" width="5.75" style="1" customWidth="1"/>
    <col min="2052" max="2052" width="5.25" style="1" customWidth="1"/>
    <col min="2053" max="2053" width="8" style="1" customWidth="1"/>
    <col min="2054" max="2054" width="6.625" style="1" customWidth="1"/>
    <col min="2055" max="2055" width="6.75" style="1" customWidth="1"/>
    <col min="2056" max="2056" width="5.625" style="1" customWidth="1"/>
    <col min="2057" max="2057" width="12.375" style="1" customWidth="1"/>
    <col min="2058" max="2062" width="9" style="1" customWidth="1"/>
    <col min="2063" max="2299" width="8.75" style="1"/>
    <col min="2300" max="2300" width="3.75" style="1" customWidth="1"/>
    <col min="2301" max="2304" width="8.75" style="1" hidden="1" customWidth="1"/>
    <col min="2305" max="2305" width="26" style="1" customWidth="1"/>
    <col min="2306" max="2306" width="24.375" style="1" customWidth="1"/>
    <col min="2307" max="2307" width="5.75" style="1" customWidth="1"/>
    <col min="2308" max="2308" width="5.25" style="1" customWidth="1"/>
    <col min="2309" max="2309" width="8" style="1" customWidth="1"/>
    <col min="2310" max="2310" width="6.625" style="1" customWidth="1"/>
    <col min="2311" max="2311" width="6.75" style="1" customWidth="1"/>
    <col min="2312" max="2312" width="5.625" style="1" customWidth="1"/>
    <col min="2313" max="2313" width="12.375" style="1" customWidth="1"/>
    <col min="2314" max="2318" width="9" style="1" customWidth="1"/>
    <col min="2319" max="2555" width="8.75" style="1"/>
    <col min="2556" max="2556" width="3.75" style="1" customWidth="1"/>
    <col min="2557" max="2560" width="8.75" style="1" hidden="1" customWidth="1"/>
    <col min="2561" max="2561" width="26" style="1" customWidth="1"/>
    <col min="2562" max="2562" width="24.375" style="1" customWidth="1"/>
    <col min="2563" max="2563" width="5.75" style="1" customWidth="1"/>
    <col min="2564" max="2564" width="5.25" style="1" customWidth="1"/>
    <col min="2565" max="2565" width="8" style="1" customWidth="1"/>
    <col min="2566" max="2566" width="6.625" style="1" customWidth="1"/>
    <col min="2567" max="2567" width="6.75" style="1" customWidth="1"/>
    <col min="2568" max="2568" width="5.625" style="1" customWidth="1"/>
    <col min="2569" max="2569" width="12.375" style="1" customWidth="1"/>
    <col min="2570" max="2574" width="9" style="1" customWidth="1"/>
    <col min="2575" max="2811" width="8.75" style="1"/>
    <col min="2812" max="2812" width="3.75" style="1" customWidth="1"/>
    <col min="2813" max="2816" width="8.75" style="1" hidden="1" customWidth="1"/>
    <col min="2817" max="2817" width="26" style="1" customWidth="1"/>
    <col min="2818" max="2818" width="24.375" style="1" customWidth="1"/>
    <col min="2819" max="2819" width="5.75" style="1" customWidth="1"/>
    <col min="2820" max="2820" width="5.25" style="1" customWidth="1"/>
    <col min="2821" max="2821" width="8" style="1" customWidth="1"/>
    <col min="2822" max="2822" width="6.625" style="1" customWidth="1"/>
    <col min="2823" max="2823" width="6.75" style="1" customWidth="1"/>
    <col min="2824" max="2824" width="5.625" style="1" customWidth="1"/>
    <col min="2825" max="2825" width="12.375" style="1" customWidth="1"/>
    <col min="2826" max="2830" width="9" style="1" customWidth="1"/>
    <col min="2831" max="3067" width="8.75" style="1"/>
    <col min="3068" max="3068" width="3.75" style="1" customWidth="1"/>
    <col min="3069" max="3072" width="8.75" style="1" hidden="1" customWidth="1"/>
    <col min="3073" max="3073" width="26" style="1" customWidth="1"/>
    <col min="3074" max="3074" width="24.375" style="1" customWidth="1"/>
    <col min="3075" max="3075" width="5.75" style="1" customWidth="1"/>
    <col min="3076" max="3076" width="5.25" style="1" customWidth="1"/>
    <col min="3077" max="3077" width="8" style="1" customWidth="1"/>
    <col min="3078" max="3078" width="6.625" style="1" customWidth="1"/>
    <col min="3079" max="3079" width="6.75" style="1" customWidth="1"/>
    <col min="3080" max="3080" width="5.625" style="1" customWidth="1"/>
    <col min="3081" max="3081" width="12.375" style="1" customWidth="1"/>
    <col min="3082" max="3086" width="9" style="1" customWidth="1"/>
    <col min="3087" max="3323" width="8.75" style="1"/>
    <col min="3324" max="3324" width="3.75" style="1" customWidth="1"/>
    <col min="3325" max="3328" width="8.75" style="1" hidden="1" customWidth="1"/>
    <col min="3329" max="3329" width="26" style="1" customWidth="1"/>
    <col min="3330" max="3330" width="24.375" style="1" customWidth="1"/>
    <col min="3331" max="3331" width="5.75" style="1" customWidth="1"/>
    <col min="3332" max="3332" width="5.25" style="1" customWidth="1"/>
    <col min="3333" max="3333" width="8" style="1" customWidth="1"/>
    <col min="3334" max="3334" width="6.625" style="1" customWidth="1"/>
    <col min="3335" max="3335" width="6.75" style="1" customWidth="1"/>
    <col min="3336" max="3336" width="5.625" style="1" customWidth="1"/>
    <col min="3337" max="3337" width="12.375" style="1" customWidth="1"/>
    <col min="3338" max="3342" width="9" style="1" customWidth="1"/>
    <col min="3343" max="3579" width="8.75" style="1"/>
    <col min="3580" max="3580" width="3.75" style="1" customWidth="1"/>
    <col min="3581" max="3584" width="8.75" style="1" hidden="1" customWidth="1"/>
    <col min="3585" max="3585" width="26" style="1" customWidth="1"/>
    <col min="3586" max="3586" width="24.375" style="1" customWidth="1"/>
    <col min="3587" max="3587" width="5.75" style="1" customWidth="1"/>
    <col min="3588" max="3588" width="5.25" style="1" customWidth="1"/>
    <col min="3589" max="3589" width="8" style="1" customWidth="1"/>
    <col min="3590" max="3590" width="6.625" style="1" customWidth="1"/>
    <col min="3591" max="3591" width="6.75" style="1" customWidth="1"/>
    <col min="3592" max="3592" width="5.625" style="1" customWidth="1"/>
    <col min="3593" max="3593" width="12.375" style="1" customWidth="1"/>
    <col min="3594" max="3598" width="9" style="1" customWidth="1"/>
    <col min="3599" max="3835" width="8.75" style="1"/>
    <col min="3836" max="3836" width="3.75" style="1" customWidth="1"/>
    <col min="3837" max="3840" width="8.75" style="1" hidden="1" customWidth="1"/>
    <col min="3841" max="3841" width="26" style="1" customWidth="1"/>
    <col min="3842" max="3842" width="24.375" style="1" customWidth="1"/>
    <col min="3843" max="3843" width="5.75" style="1" customWidth="1"/>
    <col min="3844" max="3844" width="5.25" style="1" customWidth="1"/>
    <col min="3845" max="3845" width="8" style="1" customWidth="1"/>
    <col min="3846" max="3846" width="6.625" style="1" customWidth="1"/>
    <col min="3847" max="3847" width="6.75" style="1" customWidth="1"/>
    <col min="3848" max="3848" width="5.625" style="1" customWidth="1"/>
    <col min="3849" max="3849" width="12.375" style="1" customWidth="1"/>
    <col min="3850" max="3854" width="9" style="1" customWidth="1"/>
    <col min="3855" max="4091" width="8.75" style="1"/>
    <col min="4092" max="4092" width="3.75" style="1" customWidth="1"/>
    <col min="4093" max="4096" width="8.75" style="1" hidden="1" customWidth="1"/>
    <col min="4097" max="4097" width="26" style="1" customWidth="1"/>
    <col min="4098" max="4098" width="24.375" style="1" customWidth="1"/>
    <col min="4099" max="4099" width="5.75" style="1" customWidth="1"/>
    <col min="4100" max="4100" width="5.25" style="1" customWidth="1"/>
    <col min="4101" max="4101" width="8" style="1" customWidth="1"/>
    <col min="4102" max="4102" width="6.625" style="1" customWidth="1"/>
    <col min="4103" max="4103" width="6.75" style="1" customWidth="1"/>
    <col min="4104" max="4104" width="5.625" style="1" customWidth="1"/>
    <col min="4105" max="4105" width="12.375" style="1" customWidth="1"/>
    <col min="4106" max="4110" width="9" style="1" customWidth="1"/>
    <col min="4111" max="4347" width="8.75" style="1"/>
    <col min="4348" max="4348" width="3.75" style="1" customWidth="1"/>
    <col min="4349" max="4352" width="8.75" style="1" hidden="1" customWidth="1"/>
    <col min="4353" max="4353" width="26" style="1" customWidth="1"/>
    <col min="4354" max="4354" width="24.375" style="1" customWidth="1"/>
    <col min="4355" max="4355" width="5.75" style="1" customWidth="1"/>
    <col min="4356" max="4356" width="5.25" style="1" customWidth="1"/>
    <col min="4357" max="4357" width="8" style="1" customWidth="1"/>
    <col min="4358" max="4358" width="6.625" style="1" customWidth="1"/>
    <col min="4359" max="4359" width="6.75" style="1" customWidth="1"/>
    <col min="4360" max="4360" width="5.625" style="1" customWidth="1"/>
    <col min="4361" max="4361" width="12.375" style="1" customWidth="1"/>
    <col min="4362" max="4366" width="9" style="1" customWidth="1"/>
    <col min="4367" max="4603" width="8.75" style="1"/>
    <col min="4604" max="4604" width="3.75" style="1" customWidth="1"/>
    <col min="4605" max="4608" width="8.75" style="1" hidden="1" customWidth="1"/>
    <col min="4609" max="4609" width="26" style="1" customWidth="1"/>
    <col min="4610" max="4610" width="24.375" style="1" customWidth="1"/>
    <col min="4611" max="4611" width="5.75" style="1" customWidth="1"/>
    <col min="4612" max="4612" width="5.25" style="1" customWidth="1"/>
    <col min="4613" max="4613" width="8" style="1" customWidth="1"/>
    <col min="4614" max="4614" width="6.625" style="1" customWidth="1"/>
    <col min="4615" max="4615" width="6.75" style="1" customWidth="1"/>
    <col min="4616" max="4616" width="5.625" style="1" customWidth="1"/>
    <col min="4617" max="4617" width="12.375" style="1" customWidth="1"/>
    <col min="4618" max="4622" width="9" style="1" customWidth="1"/>
    <col min="4623" max="4859" width="8.75" style="1"/>
    <col min="4860" max="4860" width="3.75" style="1" customWidth="1"/>
    <col min="4861" max="4864" width="8.75" style="1" hidden="1" customWidth="1"/>
    <col min="4865" max="4865" width="26" style="1" customWidth="1"/>
    <col min="4866" max="4866" width="24.375" style="1" customWidth="1"/>
    <col min="4867" max="4867" width="5.75" style="1" customWidth="1"/>
    <col min="4868" max="4868" width="5.25" style="1" customWidth="1"/>
    <col min="4869" max="4869" width="8" style="1" customWidth="1"/>
    <col min="4870" max="4870" width="6.625" style="1" customWidth="1"/>
    <col min="4871" max="4871" width="6.75" style="1" customWidth="1"/>
    <col min="4872" max="4872" width="5.625" style="1" customWidth="1"/>
    <col min="4873" max="4873" width="12.375" style="1" customWidth="1"/>
    <col min="4874" max="4878" width="9" style="1" customWidth="1"/>
    <col min="4879" max="5115" width="8.75" style="1"/>
    <col min="5116" max="5116" width="3.75" style="1" customWidth="1"/>
    <col min="5117" max="5120" width="8.75" style="1" hidden="1" customWidth="1"/>
    <col min="5121" max="5121" width="26" style="1" customWidth="1"/>
    <col min="5122" max="5122" width="24.375" style="1" customWidth="1"/>
    <col min="5123" max="5123" width="5.75" style="1" customWidth="1"/>
    <col min="5124" max="5124" width="5.25" style="1" customWidth="1"/>
    <col min="5125" max="5125" width="8" style="1" customWidth="1"/>
    <col min="5126" max="5126" width="6.625" style="1" customWidth="1"/>
    <col min="5127" max="5127" width="6.75" style="1" customWidth="1"/>
    <col min="5128" max="5128" width="5.625" style="1" customWidth="1"/>
    <col min="5129" max="5129" width="12.375" style="1" customWidth="1"/>
    <col min="5130" max="5134" width="9" style="1" customWidth="1"/>
    <col min="5135" max="5371" width="8.75" style="1"/>
    <col min="5372" max="5372" width="3.75" style="1" customWidth="1"/>
    <col min="5373" max="5376" width="8.75" style="1" hidden="1" customWidth="1"/>
    <col min="5377" max="5377" width="26" style="1" customWidth="1"/>
    <col min="5378" max="5378" width="24.375" style="1" customWidth="1"/>
    <col min="5379" max="5379" width="5.75" style="1" customWidth="1"/>
    <col min="5380" max="5380" width="5.25" style="1" customWidth="1"/>
    <col min="5381" max="5381" width="8" style="1" customWidth="1"/>
    <col min="5382" max="5382" width="6.625" style="1" customWidth="1"/>
    <col min="5383" max="5383" width="6.75" style="1" customWidth="1"/>
    <col min="5384" max="5384" width="5.625" style="1" customWidth="1"/>
    <col min="5385" max="5385" width="12.375" style="1" customWidth="1"/>
    <col min="5386" max="5390" width="9" style="1" customWidth="1"/>
    <col min="5391" max="5627" width="8.75" style="1"/>
    <col min="5628" max="5628" width="3.75" style="1" customWidth="1"/>
    <col min="5629" max="5632" width="8.75" style="1" hidden="1" customWidth="1"/>
    <col min="5633" max="5633" width="26" style="1" customWidth="1"/>
    <col min="5634" max="5634" width="24.375" style="1" customWidth="1"/>
    <col min="5635" max="5635" width="5.75" style="1" customWidth="1"/>
    <col min="5636" max="5636" width="5.25" style="1" customWidth="1"/>
    <col min="5637" max="5637" width="8" style="1" customWidth="1"/>
    <col min="5638" max="5638" width="6.625" style="1" customWidth="1"/>
    <col min="5639" max="5639" width="6.75" style="1" customWidth="1"/>
    <col min="5640" max="5640" width="5.625" style="1" customWidth="1"/>
    <col min="5641" max="5641" width="12.375" style="1" customWidth="1"/>
    <col min="5642" max="5646" width="9" style="1" customWidth="1"/>
    <col min="5647" max="5883" width="8.75" style="1"/>
    <col min="5884" max="5884" width="3.75" style="1" customWidth="1"/>
    <col min="5885" max="5888" width="8.75" style="1" hidden="1" customWidth="1"/>
    <col min="5889" max="5889" width="26" style="1" customWidth="1"/>
    <col min="5890" max="5890" width="24.375" style="1" customWidth="1"/>
    <col min="5891" max="5891" width="5.75" style="1" customWidth="1"/>
    <col min="5892" max="5892" width="5.25" style="1" customWidth="1"/>
    <col min="5893" max="5893" width="8" style="1" customWidth="1"/>
    <col min="5894" max="5894" width="6.625" style="1" customWidth="1"/>
    <col min="5895" max="5895" width="6.75" style="1" customWidth="1"/>
    <col min="5896" max="5896" width="5.625" style="1" customWidth="1"/>
    <col min="5897" max="5897" width="12.375" style="1" customWidth="1"/>
    <col min="5898" max="5902" width="9" style="1" customWidth="1"/>
    <col min="5903" max="6139" width="8.75" style="1"/>
    <col min="6140" max="6140" width="3.75" style="1" customWidth="1"/>
    <col min="6141" max="6144" width="8.75" style="1" hidden="1" customWidth="1"/>
    <col min="6145" max="6145" width="26" style="1" customWidth="1"/>
    <col min="6146" max="6146" width="24.375" style="1" customWidth="1"/>
    <col min="6147" max="6147" width="5.75" style="1" customWidth="1"/>
    <col min="6148" max="6148" width="5.25" style="1" customWidth="1"/>
    <col min="6149" max="6149" width="8" style="1" customWidth="1"/>
    <col min="6150" max="6150" width="6.625" style="1" customWidth="1"/>
    <col min="6151" max="6151" width="6.75" style="1" customWidth="1"/>
    <col min="6152" max="6152" width="5.625" style="1" customWidth="1"/>
    <col min="6153" max="6153" width="12.375" style="1" customWidth="1"/>
    <col min="6154" max="6158" width="9" style="1" customWidth="1"/>
    <col min="6159" max="6395" width="8.75" style="1"/>
    <col min="6396" max="6396" width="3.75" style="1" customWidth="1"/>
    <col min="6397" max="6400" width="8.75" style="1" hidden="1" customWidth="1"/>
    <col min="6401" max="6401" width="26" style="1" customWidth="1"/>
    <col min="6402" max="6402" width="24.375" style="1" customWidth="1"/>
    <col min="6403" max="6403" width="5.75" style="1" customWidth="1"/>
    <col min="6404" max="6404" width="5.25" style="1" customWidth="1"/>
    <col min="6405" max="6405" width="8" style="1" customWidth="1"/>
    <col min="6406" max="6406" width="6.625" style="1" customWidth="1"/>
    <col min="6407" max="6407" width="6.75" style="1" customWidth="1"/>
    <col min="6408" max="6408" width="5.625" style="1" customWidth="1"/>
    <col min="6409" max="6409" width="12.375" style="1" customWidth="1"/>
    <col min="6410" max="6414" width="9" style="1" customWidth="1"/>
    <col min="6415" max="6651" width="8.75" style="1"/>
    <col min="6652" max="6652" width="3.75" style="1" customWidth="1"/>
    <col min="6653" max="6656" width="8.75" style="1" hidden="1" customWidth="1"/>
    <col min="6657" max="6657" width="26" style="1" customWidth="1"/>
    <col min="6658" max="6658" width="24.375" style="1" customWidth="1"/>
    <col min="6659" max="6659" width="5.75" style="1" customWidth="1"/>
    <col min="6660" max="6660" width="5.25" style="1" customWidth="1"/>
    <col min="6661" max="6661" width="8" style="1" customWidth="1"/>
    <col min="6662" max="6662" width="6.625" style="1" customWidth="1"/>
    <col min="6663" max="6663" width="6.75" style="1" customWidth="1"/>
    <col min="6664" max="6664" width="5.625" style="1" customWidth="1"/>
    <col min="6665" max="6665" width="12.375" style="1" customWidth="1"/>
    <col min="6666" max="6670" width="9" style="1" customWidth="1"/>
    <col min="6671" max="6907" width="8.75" style="1"/>
    <col min="6908" max="6908" width="3.75" style="1" customWidth="1"/>
    <col min="6909" max="6912" width="8.75" style="1" hidden="1" customWidth="1"/>
    <col min="6913" max="6913" width="26" style="1" customWidth="1"/>
    <col min="6914" max="6914" width="24.375" style="1" customWidth="1"/>
    <col min="6915" max="6915" width="5.75" style="1" customWidth="1"/>
    <col min="6916" max="6916" width="5.25" style="1" customWidth="1"/>
    <col min="6917" max="6917" width="8" style="1" customWidth="1"/>
    <col min="6918" max="6918" width="6.625" style="1" customWidth="1"/>
    <col min="6919" max="6919" width="6.75" style="1" customWidth="1"/>
    <col min="6920" max="6920" width="5.625" style="1" customWidth="1"/>
    <col min="6921" max="6921" width="12.375" style="1" customWidth="1"/>
    <col min="6922" max="6926" width="9" style="1" customWidth="1"/>
    <col min="6927" max="7163" width="8.75" style="1"/>
    <col min="7164" max="7164" width="3.75" style="1" customWidth="1"/>
    <col min="7165" max="7168" width="8.75" style="1" hidden="1" customWidth="1"/>
    <col min="7169" max="7169" width="26" style="1" customWidth="1"/>
    <col min="7170" max="7170" width="24.375" style="1" customWidth="1"/>
    <col min="7171" max="7171" width="5.75" style="1" customWidth="1"/>
    <col min="7172" max="7172" width="5.25" style="1" customWidth="1"/>
    <col min="7173" max="7173" width="8" style="1" customWidth="1"/>
    <col min="7174" max="7174" width="6.625" style="1" customWidth="1"/>
    <col min="7175" max="7175" width="6.75" style="1" customWidth="1"/>
    <col min="7176" max="7176" width="5.625" style="1" customWidth="1"/>
    <col min="7177" max="7177" width="12.375" style="1" customWidth="1"/>
    <col min="7178" max="7182" width="9" style="1" customWidth="1"/>
    <col min="7183" max="7419" width="8.75" style="1"/>
    <col min="7420" max="7420" width="3.75" style="1" customWidth="1"/>
    <col min="7421" max="7424" width="8.75" style="1" hidden="1" customWidth="1"/>
    <col min="7425" max="7425" width="26" style="1" customWidth="1"/>
    <col min="7426" max="7426" width="24.375" style="1" customWidth="1"/>
    <col min="7427" max="7427" width="5.75" style="1" customWidth="1"/>
    <col min="7428" max="7428" width="5.25" style="1" customWidth="1"/>
    <col min="7429" max="7429" width="8" style="1" customWidth="1"/>
    <col min="7430" max="7430" width="6.625" style="1" customWidth="1"/>
    <col min="7431" max="7431" width="6.75" style="1" customWidth="1"/>
    <col min="7432" max="7432" width="5.625" style="1" customWidth="1"/>
    <col min="7433" max="7433" width="12.375" style="1" customWidth="1"/>
    <col min="7434" max="7438" width="9" style="1" customWidth="1"/>
    <col min="7439" max="7675" width="8.75" style="1"/>
    <col min="7676" max="7676" width="3.75" style="1" customWidth="1"/>
    <col min="7677" max="7680" width="8.75" style="1" hidden="1" customWidth="1"/>
    <col min="7681" max="7681" width="26" style="1" customWidth="1"/>
    <col min="7682" max="7682" width="24.375" style="1" customWidth="1"/>
    <col min="7683" max="7683" width="5.75" style="1" customWidth="1"/>
    <col min="7684" max="7684" width="5.25" style="1" customWidth="1"/>
    <col min="7685" max="7685" width="8" style="1" customWidth="1"/>
    <col min="7686" max="7686" width="6.625" style="1" customWidth="1"/>
    <col min="7687" max="7687" width="6.75" style="1" customWidth="1"/>
    <col min="7688" max="7688" width="5.625" style="1" customWidth="1"/>
    <col min="7689" max="7689" width="12.375" style="1" customWidth="1"/>
    <col min="7690" max="7694" width="9" style="1" customWidth="1"/>
    <col min="7695" max="7931" width="8.75" style="1"/>
    <col min="7932" max="7932" width="3.75" style="1" customWidth="1"/>
    <col min="7933" max="7936" width="8.75" style="1" hidden="1" customWidth="1"/>
    <col min="7937" max="7937" width="26" style="1" customWidth="1"/>
    <col min="7938" max="7938" width="24.375" style="1" customWidth="1"/>
    <col min="7939" max="7939" width="5.75" style="1" customWidth="1"/>
    <col min="7940" max="7940" width="5.25" style="1" customWidth="1"/>
    <col min="7941" max="7941" width="8" style="1" customWidth="1"/>
    <col min="7942" max="7942" width="6.625" style="1" customWidth="1"/>
    <col min="7943" max="7943" width="6.75" style="1" customWidth="1"/>
    <col min="7944" max="7944" width="5.625" style="1" customWidth="1"/>
    <col min="7945" max="7945" width="12.375" style="1" customWidth="1"/>
    <col min="7946" max="7950" width="9" style="1" customWidth="1"/>
    <col min="7951" max="8187" width="8.75" style="1"/>
    <col min="8188" max="8188" width="3.75" style="1" customWidth="1"/>
    <col min="8189" max="8192" width="8.75" style="1" hidden="1" customWidth="1"/>
    <col min="8193" max="8193" width="26" style="1" customWidth="1"/>
    <col min="8194" max="8194" width="24.375" style="1" customWidth="1"/>
    <col min="8195" max="8195" width="5.75" style="1" customWidth="1"/>
    <col min="8196" max="8196" width="5.25" style="1" customWidth="1"/>
    <col min="8197" max="8197" width="8" style="1" customWidth="1"/>
    <col min="8198" max="8198" width="6.625" style="1" customWidth="1"/>
    <col min="8199" max="8199" width="6.75" style="1" customWidth="1"/>
    <col min="8200" max="8200" width="5.625" style="1" customWidth="1"/>
    <col min="8201" max="8201" width="12.375" style="1" customWidth="1"/>
    <col min="8202" max="8206" width="9" style="1" customWidth="1"/>
    <col min="8207" max="8443" width="8.75" style="1"/>
    <col min="8444" max="8444" width="3.75" style="1" customWidth="1"/>
    <col min="8445" max="8448" width="8.75" style="1" hidden="1" customWidth="1"/>
    <col min="8449" max="8449" width="26" style="1" customWidth="1"/>
    <col min="8450" max="8450" width="24.375" style="1" customWidth="1"/>
    <col min="8451" max="8451" width="5.75" style="1" customWidth="1"/>
    <col min="8452" max="8452" width="5.25" style="1" customWidth="1"/>
    <col min="8453" max="8453" width="8" style="1" customWidth="1"/>
    <col min="8454" max="8454" width="6.625" style="1" customWidth="1"/>
    <col min="8455" max="8455" width="6.75" style="1" customWidth="1"/>
    <col min="8456" max="8456" width="5.625" style="1" customWidth="1"/>
    <col min="8457" max="8457" width="12.375" style="1" customWidth="1"/>
    <col min="8458" max="8462" width="9" style="1" customWidth="1"/>
    <col min="8463" max="8699" width="8.75" style="1"/>
    <col min="8700" max="8700" width="3.75" style="1" customWidth="1"/>
    <col min="8701" max="8704" width="8.75" style="1" hidden="1" customWidth="1"/>
    <col min="8705" max="8705" width="26" style="1" customWidth="1"/>
    <col min="8706" max="8706" width="24.375" style="1" customWidth="1"/>
    <col min="8707" max="8707" width="5.75" style="1" customWidth="1"/>
    <col min="8708" max="8708" width="5.25" style="1" customWidth="1"/>
    <col min="8709" max="8709" width="8" style="1" customWidth="1"/>
    <col min="8710" max="8710" width="6.625" style="1" customWidth="1"/>
    <col min="8711" max="8711" width="6.75" style="1" customWidth="1"/>
    <col min="8712" max="8712" width="5.625" style="1" customWidth="1"/>
    <col min="8713" max="8713" width="12.375" style="1" customWidth="1"/>
    <col min="8714" max="8718" width="9" style="1" customWidth="1"/>
    <col min="8719" max="8955" width="8.75" style="1"/>
    <col min="8956" max="8956" width="3.75" style="1" customWidth="1"/>
    <col min="8957" max="8960" width="8.75" style="1" hidden="1" customWidth="1"/>
    <col min="8961" max="8961" width="26" style="1" customWidth="1"/>
    <col min="8962" max="8962" width="24.375" style="1" customWidth="1"/>
    <col min="8963" max="8963" width="5.75" style="1" customWidth="1"/>
    <col min="8964" max="8964" width="5.25" style="1" customWidth="1"/>
    <col min="8965" max="8965" width="8" style="1" customWidth="1"/>
    <col min="8966" max="8966" width="6.625" style="1" customWidth="1"/>
    <col min="8967" max="8967" width="6.75" style="1" customWidth="1"/>
    <col min="8968" max="8968" width="5.625" style="1" customWidth="1"/>
    <col min="8969" max="8969" width="12.375" style="1" customWidth="1"/>
    <col min="8970" max="8974" width="9" style="1" customWidth="1"/>
    <col min="8975" max="9211" width="8.75" style="1"/>
    <col min="9212" max="9212" width="3.75" style="1" customWidth="1"/>
    <col min="9213" max="9216" width="8.75" style="1" hidden="1" customWidth="1"/>
    <col min="9217" max="9217" width="26" style="1" customWidth="1"/>
    <col min="9218" max="9218" width="24.375" style="1" customWidth="1"/>
    <col min="9219" max="9219" width="5.75" style="1" customWidth="1"/>
    <col min="9220" max="9220" width="5.25" style="1" customWidth="1"/>
    <col min="9221" max="9221" width="8" style="1" customWidth="1"/>
    <col min="9222" max="9222" width="6.625" style="1" customWidth="1"/>
    <col min="9223" max="9223" width="6.75" style="1" customWidth="1"/>
    <col min="9224" max="9224" width="5.625" style="1" customWidth="1"/>
    <col min="9225" max="9225" width="12.375" style="1" customWidth="1"/>
    <col min="9226" max="9230" width="9" style="1" customWidth="1"/>
    <col min="9231" max="9467" width="8.75" style="1"/>
    <col min="9468" max="9468" width="3.75" style="1" customWidth="1"/>
    <col min="9469" max="9472" width="8.75" style="1" hidden="1" customWidth="1"/>
    <col min="9473" max="9473" width="26" style="1" customWidth="1"/>
    <col min="9474" max="9474" width="24.375" style="1" customWidth="1"/>
    <col min="9475" max="9475" width="5.75" style="1" customWidth="1"/>
    <col min="9476" max="9476" width="5.25" style="1" customWidth="1"/>
    <col min="9477" max="9477" width="8" style="1" customWidth="1"/>
    <col min="9478" max="9478" width="6.625" style="1" customWidth="1"/>
    <col min="9479" max="9479" width="6.75" style="1" customWidth="1"/>
    <col min="9480" max="9480" width="5.625" style="1" customWidth="1"/>
    <col min="9481" max="9481" width="12.375" style="1" customWidth="1"/>
    <col min="9482" max="9486" width="9" style="1" customWidth="1"/>
    <col min="9487" max="9723" width="8.75" style="1"/>
    <col min="9724" max="9724" width="3.75" style="1" customWidth="1"/>
    <col min="9725" max="9728" width="8.75" style="1" hidden="1" customWidth="1"/>
    <col min="9729" max="9729" width="26" style="1" customWidth="1"/>
    <col min="9730" max="9730" width="24.375" style="1" customWidth="1"/>
    <col min="9731" max="9731" width="5.75" style="1" customWidth="1"/>
    <col min="9732" max="9732" width="5.25" style="1" customWidth="1"/>
    <col min="9733" max="9733" width="8" style="1" customWidth="1"/>
    <col min="9734" max="9734" width="6.625" style="1" customWidth="1"/>
    <col min="9735" max="9735" width="6.75" style="1" customWidth="1"/>
    <col min="9736" max="9736" width="5.625" style="1" customWidth="1"/>
    <col min="9737" max="9737" width="12.375" style="1" customWidth="1"/>
    <col min="9738" max="9742" width="9" style="1" customWidth="1"/>
    <col min="9743" max="9979" width="8.75" style="1"/>
    <col min="9980" max="9980" width="3.75" style="1" customWidth="1"/>
    <col min="9981" max="9984" width="8.75" style="1" hidden="1" customWidth="1"/>
    <col min="9985" max="9985" width="26" style="1" customWidth="1"/>
    <col min="9986" max="9986" width="24.375" style="1" customWidth="1"/>
    <col min="9987" max="9987" width="5.75" style="1" customWidth="1"/>
    <col min="9988" max="9988" width="5.25" style="1" customWidth="1"/>
    <col min="9989" max="9989" width="8" style="1" customWidth="1"/>
    <col min="9990" max="9990" width="6.625" style="1" customWidth="1"/>
    <col min="9991" max="9991" width="6.75" style="1" customWidth="1"/>
    <col min="9992" max="9992" width="5.625" style="1" customWidth="1"/>
    <col min="9993" max="9993" width="12.375" style="1" customWidth="1"/>
    <col min="9994" max="9998" width="9" style="1" customWidth="1"/>
    <col min="9999" max="10235" width="8.75" style="1"/>
    <col min="10236" max="10236" width="3.75" style="1" customWidth="1"/>
    <col min="10237" max="10240" width="8.75" style="1" hidden="1" customWidth="1"/>
    <col min="10241" max="10241" width="26" style="1" customWidth="1"/>
    <col min="10242" max="10242" width="24.375" style="1" customWidth="1"/>
    <col min="10243" max="10243" width="5.75" style="1" customWidth="1"/>
    <col min="10244" max="10244" width="5.25" style="1" customWidth="1"/>
    <col min="10245" max="10245" width="8" style="1" customWidth="1"/>
    <col min="10246" max="10246" width="6.625" style="1" customWidth="1"/>
    <col min="10247" max="10247" width="6.75" style="1" customWidth="1"/>
    <col min="10248" max="10248" width="5.625" style="1" customWidth="1"/>
    <col min="10249" max="10249" width="12.375" style="1" customWidth="1"/>
    <col min="10250" max="10254" width="9" style="1" customWidth="1"/>
    <col min="10255" max="10491" width="8.75" style="1"/>
    <col min="10492" max="10492" width="3.75" style="1" customWidth="1"/>
    <col min="10493" max="10496" width="8.75" style="1" hidden="1" customWidth="1"/>
    <col min="10497" max="10497" width="26" style="1" customWidth="1"/>
    <col min="10498" max="10498" width="24.375" style="1" customWidth="1"/>
    <col min="10499" max="10499" width="5.75" style="1" customWidth="1"/>
    <col min="10500" max="10500" width="5.25" style="1" customWidth="1"/>
    <col min="10501" max="10501" width="8" style="1" customWidth="1"/>
    <col min="10502" max="10502" width="6.625" style="1" customWidth="1"/>
    <col min="10503" max="10503" width="6.75" style="1" customWidth="1"/>
    <col min="10504" max="10504" width="5.625" style="1" customWidth="1"/>
    <col min="10505" max="10505" width="12.375" style="1" customWidth="1"/>
    <col min="10506" max="10510" width="9" style="1" customWidth="1"/>
    <col min="10511" max="10747" width="8.75" style="1"/>
    <col min="10748" max="10748" width="3.75" style="1" customWidth="1"/>
    <col min="10749" max="10752" width="8.75" style="1" hidden="1" customWidth="1"/>
    <col min="10753" max="10753" width="26" style="1" customWidth="1"/>
    <col min="10754" max="10754" width="24.375" style="1" customWidth="1"/>
    <col min="10755" max="10755" width="5.75" style="1" customWidth="1"/>
    <col min="10756" max="10756" width="5.25" style="1" customWidth="1"/>
    <col min="10757" max="10757" width="8" style="1" customWidth="1"/>
    <col min="10758" max="10758" width="6.625" style="1" customWidth="1"/>
    <col min="10759" max="10759" width="6.75" style="1" customWidth="1"/>
    <col min="10760" max="10760" width="5.625" style="1" customWidth="1"/>
    <col min="10761" max="10761" width="12.375" style="1" customWidth="1"/>
    <col min="10762" max="10766" width="9" style="1" customWidth="1"/>
    <col min="10767" max="11003" width="8.75" style="1"/>
    <col min="11004" max="11004" width="3.75" style="1" customWidth="1"/>
    <col min="11005" max="11008" width="8.75" style="1" hidden="1" customWidth="1"/>
    <col min="11009" max="11009" width="26" style="1" customWidth="1"/>
    <col min="11010" max="11010" width="24.375" style="1" customWidth="1"/>
    <col min="11011" max="11011" width="5.75" style="1" customWidth="1"/>
    <col min="11012" max="11012" width="5.25" style="1" customWidth="1"/>
    <col min="11013" max="11013" width="8" style="1" customWidth="1"/>
    <col min="11014" max="11014" width="6.625" style="1" customWidth="1"/>
    <col min="11015" max="11015" width="6.75" style="1" customWidth="1"/>
    <col min="11016" max="11016" width="5.625" style="1" customWidth="1"/>
    <col min="11017" max="11017" width="12.375" style="1" customWidth="1"/>
    <col min="11018" max="11022" width="9" style="1" customWidth="1"/>
    <col min="11023" max="11259" width="8.75" style="1"/>
    <col min="11260" max="11260" width="3.75" style="1" customWidth="1"/>
    <col min="11261" max="11264" width="8.75" style="1" hidden="1" customWidth="1"/>
    <col min="11265" max="11265" width="26" style="1" customWidth="1"/>
    <col min="11266" max="11266" width="24.375" style="1" customWidth="1"/>
    <col min="11267" max="11267" width="5.75" style="1" customWidth="1"/>
    <col min="11268" max="11268" width="5.25" style="1" customWidth="1"/>
    <col min="11269" max="11269" width="8" style="1" customWidth="1"/>
    <col min="11270" max="11270" width="6.625" style="1" customWidth="1"/>
    <col min="11271" max="11271" width="6.75" style="1" customWidth="1"/>
    <col min="11272" max="11272" width="5.625" style="1" customWidth="1"/>
    <col min="11273" max="11273" width="12.375" style="1" customWidth="1"/>
    <col min="11274" max="11278" width="9" style="1" customWidth="1"/>
    <col min="11279" max="11515" width="8.75" style="1"/>
    <col min="11516" max="11516" width="3.75" style="1" customWidth="1"/>
    <col min="11517" max="11520" width="8.75" style="1" hidden="1" customWidth="1"/>
    <col min="11521" max="11521" width="26" style="1" customWidth="1"/>
    <col min="11522" max="11522" width="24.375" style="1" customWidth="1"/>
    <col min="11523" max="11523" width="5.75" style="1" customWidth="1"/>
    <col min="11524" max="11524" width="5.25" style="1" customWidth="1"/>
    <col min="11525" max="11525" width="8" style="1" customWidth="1"/>
    <col min="11526" max="11526" width="6.625" style="1" customWidth="1"/>
    <col min="11527" max="11527" width="6.75" style="1" customWidth="1"/>
    <col min="11528" max="11528" width="5.625" style="1" customWidth="1"/>
    <col min="11529" max="11529" width="12.375" style="1" customWidth="1"/>
    <col min="11530" max="11534" width="9" style="1" customWidth="1"/>
    <col min="11535" max="11771" width="8.75" style="1"/>
    <col min="11772" max="11772" width="3.75" style="1" customWidth="1"/>
    <col min="11773" max="11776" width="8.75" style="1" hidden="1" customWidth="1"/>
    <col min="11777" max="11777" width="26" style="1" customWidth="1"/>
    <col min="11778" max="11778" width="24.375" style="1" customWidth="1"/>
    <col min="11779" max="11779" width="5.75" style="1" customWidth="1"/>
    <col min="11780" max="11780" width="5.25" style="1" customWidth="1"/>
    <col min="11781" max="11781" width="8" style="1" customWidth="1"/>
    <col min="11782" max="11782" width="6.625" style="1" customWidth="1"/>
    <col min="11783" max="11783" width="6.75" style="1" customWidth="1"/>
    <col min="11784" max="11784" width="5.625" style="1" customWidth="1"/>
    <col min="11785" max="11785" width="12.375" style="1" customWidth="1"/>
    <col min="11786" max="11790" width="9" style="1" customWidth="1"/>
    <col min="11791" max="12027" width="8.75" style="1"/>
    <col min="12028" max="12028" width="3.75" style="1" customWidth="1"/>
    <col min="12029" max="12032" width="8.75" style="1" hidden="1" customWidth="1"/>
    <col min="12033" max="12033" width="26" style="1" customWidth="1"/>
    <col min="12034" max="12034" width="24.375" style="1" customWidth="1"/>
    <col min="12035" max="12035" width="5.75" style="1" customWidth="1"/>
    <col min="12036" max="12036" width="5.25" style="1" customWidth="1"/>
    <col min="12037" max="12037" width="8" style="1" customWidth="1"/>
    <col min="12038" max="12038" width="6.625" style="1" customWidth="1"/>
    <col min="12039" max="12039" width="6.75" style="1" customWidth="1"/>
    <col min="12040" max="12040" width="5.625" style="1" customWidth="1"/>
    <col min="12041" max="12041" width="12.375" style="1" customWidth="1"/>
    <col min="12042" max="12046" width="9" style="1" customWidth="1"/>
    <col min="12047" max="12283" width="8.75" style="1"/>
    <col min="12284" max="12284" width="3.75" style="1" customWidth="1"/>
    <col min="12285" max="12288" width="8.75" style="1" hidden="1" customWidth="1"/>
    <col min="12289" max="12289" width="26" style="1" customWidth="1"/>
    <col min="12290" max="12290" width="24.375" style="1" customWidth="1"/>
    <col min="12291" max="12291" width="5.75" style="1" customWidth="1"/>
    <col min="12292" max="12292" width="5.25" style="1" customWidth="1"/>
    <col min="12293" max="12293" width="8" style="1" customWidth="1"/>
    <col min="12294" max="12294" width="6.625" style="1" customWidth="1"/>
    <col min="12295" max="12295" width="6.75" style="1" customWidth="1"/>
    <col min="12296" max="12296" width="5.625" style="1" customWidth="1"/>
    <col min="12297" max="12297" width="12.375" style="1" customWidth="1"/>
    <col min="12298" max="12302" width="9" style="1" customWidth="1"/>
    <col min="12303" max="12539" width="8.75" style="1"/>
    <col min="12540" max="12540" width="3.75" style="1" customWidth="1"/>
    <col min="12541" max="12544" width="8.75" style="1" hidden="1" customWidth="1"/>
    <col min="12545" max="12545" width="26" style="1" customWidth="1"/>
    <col min="12546" max="12546" width="24.375" style="1" customWidth="1"/>
    <col min="12547" max="12547" width="5.75" style="1" customWidth="1"/>
    <col min="12548" max="12548" width="5.25" style="1" customWidth="1"/>
    <col min="12549" max="12549" width="8" style="1" customWidth="1"/>
    <col min="12550" max="12550" width="6.625" style="1" customWidth="1"/>
    <col min="12551" max="12551" width="6.75" style="1" customWidth="1"/>
    <col min="12552" max="12552" width="5.625" style="1" customWidth="1"/>
    <col min="12553" max="12553" width="12.375" style="1" customWidth="1"/>
    <col min="12554" max="12558" width="9" style="1" customWidth="1"/>
    <col min="12559" max="12795" width="8.75" style="1"/>
    <col min="12796" max="12796" width="3.75" style="1" customWidth="1"/>
    <col min="12797" max="12800" width="8.75" style="1" hidden="1" customWidth="1"/>
    <col min="12801" max="12801" width="26" style="1" customWidth="1"/>
    <col min="12802" max="12802" width="24.375" style="1" customWidth="1"/>
    <col min="12803" max="12803" width="5.75" style="1" customWidth="1"/>
    <col min="12804" max="12804" width="5.25" style="1" customWidth="1"/>
    <col min="12805" max="12805" width="8" style="1" customWidth="1"/>
    <col min="12806" max="12806" width="6.625" style="1" customWidth="1"/>
    <col min="12807" max="12807" width="6.75" style="1" customWidth="1"/>
    <col min="12808" max="12808" width="5.625" style="1" customWidth="1"/>
    <col min="12809" max="12809" width="12.375" style="1" customWidth="1"/>
    <col min="12810" max="12814" width="9" style="1" customWidth="1"/>
    <col min="12815" max="13051" width="8.75" style="1"/>
    <col min="13052" max="13052" width="3.75" style="1" customWidth="1"/>
    <col min="13053" max="13056" width="8.75" style="1" hidden="1" customWidth="1"/>
    <col min="13057" max="13057" width="26" style="1" customWidth="1"/>
    <col min="13058" max="13058" width="24.375" style="1" customWidth="1"/>
    <col min="13059" max="13059" width="5.75" style="1" customWidth="1"/>
    <col min="13060" max="13060" width="5.25" style="1" customWidth="1"/>
    <col min="13061" max="13061" width="8" style="1" customWidth="1"/>
    <col min="13062" max="13062" width="6.625" style="1" customWidth="1"/>
    <col min="13063" max="13063" width="6.75" style="1" customWidth="1"/>
    <col min="13064" max="13064" width="5.625" style="1" customWidth="1"/>
    <col min="13065" max="13065" width="12.375" style="1" customWidth="1"/>
    <col min="13066" max="13070" width="9" style="1" customWidth="1"/>
    <col min="13071" max="13307" width="8.75" style="1"/>
    <col min="13308" max="13308" width="3.75" style="1" customWidth="1"/>
    <col min="13309" max="13312" width="8.75" style="1" hidden="1" customWidth="1"/>
    <col min="13313" max="13313" width="26" style="1" customWidth="1"/>
    <col min="13314" max="13314" width="24.375" style="1" customWidth="1"/>
    <col min="13315" max="13315" width="5.75" style="1" customWidth="1"/>
    <col min="13316" max="13316" width="5.25" style="1" customWidth="1"/>
    <col min="13317" max="13317" width="8" style="1" customWidth="1"/>
    <col min="13318" max="13318" width="6.625" style="1" customWidth="1"/>
    <col min="13319" max="13319" width="6.75" style="1" customWidth="1"/>
    <col min="13320" max="13320" width="5.625" style="1" customWidth="1"/>
    <col min="13321" max="13321" width="12.375" style="1" customWidth="1"/>
    <col min="13322" max="13326" width="9" style="1" customWidth="1"/>
    <col min="13327" max="13563" width="8.75" style="1"/>
    <col min="13564" max="13564" width="3.75" style="1" customWidth="1"/>
    <col min="13565" max="13568" width="8.75" style="1" hidden="1" customWidth="1"/>
    <col min="13569" max="13569" width="26" style="1" customWidth="1"/>
    <col min="13570" max="13570" width="24.375" style="1" customWidth="1"/>
    <col min="13571" max="13571" width="5.75" style="1" customWidth="1"/>
    <col min="13572" max="13572" width="5.25" style="1" customWidth="1"/>
    <col min="13573" max="13573" width="8" style="1" customWidth="1"/>
    <col min="13574" max="13574" width="6.625" style="1" customWidth="1"/>
    <col min="13575" max="13575" width="6.75" style="1" customWidth="1"/>
    <col min="13576" max="13576" width="5.625" style="1" customWidth="1"/>
    <col min="13577" max="13577" width="12.375" style="1" customWidth="1"/>
    <col min="13578" max="13582" width="9" style="1" customWidth="1"/>
    <col min="13583" max="13819" width="8.75" style="1"/>
    <col min="13820" max="13820" width="3.75" style="1" customWidth="1"/>
    <col min="13821" max="13824" width="8.75" style="1" hidden="1" customWidth="1"/>
    <col min="13825" max="13825" width="26" style="1" customWidth="1"/>
    <col min="13826" max="13826" width="24.375" style="1" customWidth="1"/>
    <col min="13827" max="13827" width="5.75" style="1" customWidth="1"/>
    <col min="13828" max="13828" width="5.25" style="1" customWidth="1"/>
    <col min="13829" max="13829" width="8" style="1" customWidth="1"/>
    <col min="13830" max="13830" width="6.625" style="1" customWidth="1"/>
    <col min="13831" max="13831" width="6.75" style="1" customWidth="1"/>
    <col min="13832" max="13832" width="5.625" style="1" customWidth="1"/>
    <col min="13833" max="13833" width="12.375" style="1" customWidth="1"/>
    <col min="13834" max="13838" width="9" style="1" customWidth="1"/>
    <col min="13839" max="14075" width="8.75" style="1"/>
    <col min="14076" max="14076" width="3.75" style="1" customWidth="1"/>
    <col min="14077" max="14080" width="8.75" style="1" hidden="1" customWidth="1"/>
    <col min="14081" max="14081" width="26" style="1" customWidth="1"/>
    <col min="14082" max="14082" width="24.375" style="1" customWidth="1"/>
    <col min="14083" max="14083" width="5.75" style="1" customWidth="1"/>
    <col min="14084" max="14084" width="5.25" style="1" customWidth="1"/>
    <col min="14085" max="14085" width="8" style="1" customWidth="1"/>
    <col min="14086" max="14086" width="6.625" style="1" customWidth="1"/>
    <col min="14087" max="14087" width="6.75" style="1" customWidth="1"/>
    <col min="14088" max="14088" width="5.625" style="1" customWidth="1"/>
    <col min="14089" max="14089" width="12.375" style="1" customWidth="1"/>
    <col min="14090" max="14094" width="9" style="1" customWidth="1"/>
    <col min="14095" max="14331" width="8.75" style="1"/>
    <col min="14332" max="14332" width="3.75" style="1" customWidth="1"/>
    <col min="14333" max="14336" width="8.75" style="1" hidden="1" customWidth="1"/>
    <col min="14337" max="14337" width="26" style="1" customWidth="1"/>
    <col min="14338" max="14338" width="24.375" style="1" customWidth="1"/>
    <col min="14339" max="14339" width="5.75" style="1" customWidth="1"/>
    <col min="14340" max="14340" width="5.25" style="1" customWidth="1"/>
    <col min="14341" max="14341" width="8" style="1" customWidth="1"/>
    <col min="14342" max="14342" width="6.625" style="1" customWidth="1"/>
    <col min="14343" max="14343" width="6.75" style="1" customWidth="1"/>
    <col min="14344" max="14344" width="5.625" style="1" customWidth="1"/>
    <col min="14345" max="14345" width="12.375" style="1" customWidth="1"/>
    <col min="14346" max="14350" width="9" style="1" customWidth="1"/>
    <col min="14351" max="14587" width="8.75" style="1"/>
    <col min="14588" max="14588" width="3.75" style="1" customWidth="1"/>
    <col min="14589" max="14592" width="8.75" style="1" hidden="1" customWidth="1"/>
    <col min="14593" max="14593" width="26" style="1" customWidth="1"/>
    <col min="14594" max="14594" width="24.375" style="1" customWidth="1"/>
    <col min="14595" max="14595" width="5.75" style="1" customWidth="1"/>
    <col min="14596" max="14596" width="5.25" style="1" customWidth="1"/>
    <col min="14597" max="14597" width="8" style="1" customWidth="1"/>
    <col min="14598" max="14598" width="6.625" style="1" customWidth="1"/>
    <col min="14599" max="14599" width="6.75" style="1" customWidth="1"/>
    <col min="14600" max="14600" width="5.625" style="1" customWidth="1"/>
    <col min="14601" max="14601" width="12.375" style="1" customWidth="1"/>
    <col min="14602" max="14606" width="9" style="1" customWidth="1"/>
    <col min="14607" max="14843" width="8.75" style="1"/>
    <col min="14844" max="14844" width="3.75" style="1" customWidth="1"/>
    <col min="14845" max="14848" width="8.75" style="1" hidden="1" customWidth="1"/>
    <col min="14849" max="14849" width="26" style="1" customWidth="1"/>
    <col min="14850" max="14850" width="24.375" style="1" customWidth="1"/>
    <col min="14851" max="14851" width="5.75" style="1" customWidth="1"/>
    <col min="14852" max="14852" width="5.25" style="1" customWidth="1"/>
    <col min="14853" max="14853" width="8" style="1" customWidth="1"/>
    <col min="14854" max="14854" width="6.625" style="1" customWidth="1"/>
    <col min="14855" max="14855" width="6.75" style="1" customWidth="1"/>
    <col min="14856" max="14856" width="5.625" style="1" customWidth="1"/>
    <col min="14857" max="14857" width="12.375" style="1" customWidth="1"/>
    <col min="14858" max="14862" width="9" style="1" customWidth="1"/>
    <col min="14863" max="15099" width="8.75" style="1"/>
    <col min="15100" max="15100" width="3.75" style="1" customWidth="1"/>
    <col min="15101" max="15104" width="8.75" style="1" hidden="1" customWidth="1"/>
    <col min="15105" max="15105" width="26" style="1" customWidth="1"/>
    <col min="15106" max="15106" width="24.375" style="1" customWidth="1"/>
    <col min="15107" max="15107" width="5.75" style="1" customWidth="1"/>
    <col min="15108" max="15108" width="5.25" style="1" customWidth="1"/>
    <col min="15109" max="15109" width="8" style="1" customWidth="1"/>
    <col min="15110" max="15110" width="6.625" style="1" customWidth="1"/>
    <col min="15111" max="15111" width="6.75" style="1" customWidth="1"/>
    <col min="15112" max="15112" width="5.625" style="1" customWidth="1"/>
    <col min="15113" max="15113" width="12.375" style="1" customWidth="1"/>
    <col min="15114" max="15118" width="9" style="1" customWidth="1"/>
    <col min="15119" max="15355" width="8.75" style="1"/>
    <col min="15356" max="15356" width="3.75" style="1" customWidth="1"/>
    <col min="15357" max="15360" width="8.75" style="1" hidden="1" customWidth="1"/>
    <col min="15361" max="15361" width="26" style="1" customWidth="1"/>
    <col min="15362" max="15362" width="24.375" style="1" customWidth="1"/>
    <col min="15363" max="15363" width="5.75" style="1" customWidth="1"/>
    <col min="15364" max="15364" width="5.25" style="1" customWidth="1"/>
    <col min="15365" max="15365" width="8" style="1" customWidth="1"/>
    <col min="15366" max="15366" width="6.625" style="1" customWidth="1"/>
    <col min="15367" max="15367" width="6.75" style="1" customWidth="1"/>
    <col min="15368" max="15368" width="5.625" style="1" customWidth="1"/>
    <col min="15369" max="15369" width="12.375" style="1" customWidth="1"/>
    <col min="15370" max="15374" width="9" style="1" customWidth="1"/>
    <col min="15375" max="15611" width="8.75" style="1"/>
    <col min="15612" max="15612" width="3.75" style="1" customWidth="1"/>
    <col min="15613" max="15616" width="8.75" style="1" hidden="1" customWidth="1"/>
    <col min="15617" max="15617" width="26" style="1" customWidth="1"/>
    <col min="15618" max="15618" width="24.375" style="1" customWidth="1"/>
    <col min="15619" max="15619" width="5.75" style="1" customWidth="1"/>
    <col min="15620" max="15620" width="5.25" style="1" customWidth="1"/>
    <col min="15621" max="15621" width="8" style="1" customWidth="1"/>
    <col min="15622" max="15622" width="6.625" style="1" customWidth="1"/>
    <col min="15623" max="15623" width="6.75" style="1" customWidth="1"/>
    <col min="15624" max="15624" width="5.625" style="1" customWidth="1"/>
    <col min="15625" max="15625" width="12.375" style="1" customWidth="1"/>
    <col min="15626" max="15630" width="9" style="1" customWidth="1"/>
    <col min="15631" max="15867" width="8.75" style="1"/>
    <col min="15868" max="15868" width="3.75" style="1" customWidth="1"/>
    <col min="15869" max="15872" width="8.75" style="1" hidden="1" customWidth="1"/>
    <col min="15873" max="15873" width="26" style="1" customWidth="1"/>
    <col min="15874" max="15874" width="24.375" style="1" customWidth="1"/>
    <col min="15875" max="15875" width="5.75" style="1" customWidth="1"/>
    <col min="15876" max="15876" width="5.25" style="1" customWidth="1"/>
    <col min="15877" max="15877" width="8" style="1" customWidth="1"/>
    <col min="15878" max="15878" width="6.625" style="1" customWidth="1"/>
    <col min="15879" max="15879" width="6.75" style="1" customWidth="1"/>
    <col min="15880" max="15880" width="5.625" style="1" customWidth="1"/>
    <col min="15881" max="15881" width="12.375" style="1" customWidth="1"/>
    <col min="15882" max="15886" width="9" style="1" customWidth="1"/>
    <col min="15887" max="16123" width="8.75" style="1"/>
    <col min="16124" max="16124" width="3.75" style="1" customWidth="1"/>
    <col min="16125" max="16128" width="8.75" style="1" hidden="1" customWidth="1"/>
    <col min="16129" max="16129" width="26" style="1" customWidth="1"/>
    <col min="16130" max="16130" width="24.375" style="1" customWidth="1"/>
    <col min="16131" max="16131" width="5.75" style="1" customWidth="1"/>
    <col min="16132" max="16132" width="5.25" style="1" customWidth="1"/>
    <col min="16133" max="16133" width="8" style="1" customWidth="1"/>
    <col min="16134" max="16134" width="6.625" style="1" customWidth="1"/>
    <col min="16135" max="16135" width="6.75" style="1" customWidth="1"/>
    <col min="16136" max="16136" width="5.625" style="1" customWidth="1"/>
    <col min="16137" max="16137" width="12.375" style="1" customWidth="1"/>
    <col min="16138" max="16142" width="9" style="1" customWidth="1"/>
    <col min="16143" max="16384" width="8.75" style="1"/>
  </cols>
  <sheetData>
    <row r="1" spans="1:14" ht="15.95" customHeight="1">
      <c r="A1" s="143" t="s">
        <v>0</v>
      </c>
      <c r="B1" s="144"/>
      <c r="C1" s="144"/>
      <c r="D1" s="144"/>
      <c r="E1" s="144"/>
      <c r="F1" s="144"/>
      <c r="G1" s="144"/>
      <c r="H1" s="145"/>
      <c r="I1" s="145"/>
      <c r="J1" s="146"/>
      <c r="K1" s="189" t="s">
        <v>861</v>
      </c>
      <c r="L1" s="190"/>
      <c r="M1" s="190"/>
      <c r="N1" s="190"/>
    </row>
    <row r="2" spans="1:14" ht="15.95" customHeight="1">
      <c r="A2" s="147" t="s">
        <v>2</v>
      </c>
      <c r="B2" s="148"/>
      <c r="C2" s="148"/>
      <c r="D2" s="148"/>
      <c r="E2" s="148"/>
      <c r="F2" s="148"/>
      <c r="G2" s="148"/>
      <c r="H2" s="149"/>
      <c r="I2" s="149"/>
      <c r="J2" s="150"/>
      <c r="K2" s="189"/>
      <c r="L2" s="190"/>
      <c r="M2" s="190"/>
      <c r="N2" s="190"/>
    </row>
    <row r="3" spans="1:14" ht="15.95" customHeight="1">
      <c r="A3" s="151" t="s">
        <v>3</v>
      </c>
      <c r="B3" s="152"/>
      <c r="C3" s="152"/>
      <c r="D3" s="152"/>
      <c r="E3" s="152"/>
      <c r="F3" s="152"/>
      <c r="G3" s="152"/>
      <c r="H3" s="153"/>
      <c r="I3" s="153"/>
      <c r="J3" s="154"/>
      <c r="K3" s="189"/>
      <c r="L3" s="190"/>
      <c r="M3" s="190"/>
      <c r="N3" s="190"/>
    </row>
    <row r="4" spans="1:14" ht="15.95" customHeight="1">
      <c r="A4" s="155" t="s">
        <v>4</v>
      </c>
      <c r="B4" s="156"/>
      <c r="C4" s="156"/>
      <c r="D4" s="156"/>
      <c r="E4" s="156"/>
      <c r="F4" s="156"/>
      <c r="G4" s="156"/>
      <c r="H4" s="157"/>
      <c r="I4" s="157"/>
      <c r="J4" s="158"/>
      <c r="K4" s="189"/>
      <c r="L4" s="190"/>
      <c r="M4" s="190"/>
      <c r="N4" s="190"/>
    </row>
    <row r="5" spans="1:14" ht="15.95" customHeight="1">
      <c r="A5" s="147" t="s">
        <v>5</v>
      </c>
      <c r="B5" s="148"/>
      <c r="C5" s="148"/>
      <c r="D5" s="148"/>
      <c r="E5" s="148"/>
      <c r="F5" s="148"/>
      <c r="G5" s="148"/>
      <c r="H5" s="149"/>
      <c r="I5" s="149"/>
      <c r="J5" s="150"/>
      <c r="K5" s="189"/>
      <c r="L5" s="190"/>
      <c r="M5" s="190"/>
      <c r="N5" s="190"/>
    </row>
    <row r="6" spans="1:14" ht="15.95" customHeight="1">
      <c r="A6" s="147" t="s">
        <v>6</v>
      </c>
      <c r="B6" s="148"/>
      <c r="C6" s="148"/>
      <c r="D6" s="148"/>
      <c r="E6" s="148"/>
      <c r="F6" s="148"/>
      <c r="G6" s="148"/>
      <c r="H6" s="149"/>
      <c r="I6" s="149"/>
      <c r="J6" s="150"/>
      <c r="K6" s="189"/>
      <c r="L6" s="190"/>
      <c r="M6" s="190"/>
      <c r="N6" s="190"/>
    </row>
    <row r="7" spans="1:14" ht="15.95" customHeight="1">
      <c r="A7" s="159" t="s">
        <v>862</v>
      </c>
      <c r="B7" s="160"/>
      <c r="C7" s="160"/>
      <c r="D7" s="160"/>
      <c r="E7" s="160"/>
      <c r="F7" s="160"/>
      <c r="G7" s="8"/>
      <c r="H7" s="183" t="s">
        <v>8</v>
      </c>
      <c r="I7" s="184"/>
      <c r="J7" s="185"/>
      <c r="K7" s="161" t="s">
        <v>9</v>
      </c>
      <c r="L7" s="162"/>
      <c r="M7" s="162"/>
      <c r="N7" s="163"/>
    </row>
    <row r="8" spans="1:14" ht="15.95" customHeight="1">
      <c r="A8" s="159" t="s">
        <v>863</v>
      </c>
      <c r="B8" s="160"/>
      <c r="C8" s="160"/>
      <c r="D8" s="160"/>
      <c r="E8" s="160"/>
      <c r="F8" s="160"/>
      <c r="G8" s="164"/>
      <c r="H8" s="186"/>
      <c r="I8" s="187"/>
      <c r="J8" s="188"/>
      <c r="K8" s="165" t="s">
        <v>864</v>
      </c>
      <c r="L8" s="166"/>
      <c r="M8" s="166"/>
      <c r="N8" s="167"/>
    </row>
    <row r="9" spans="1:14" ht="21" customHeight="1">
      <c r="A9" s="9" t="s">
        <v>12</v>
      </c>
      <c r="B9" s="10" t="s">
        <v>13</v>
      </c>
      <c r="C9" s="86" t="s">
        <v>14</v>
      </c>
      <c r="D9" s="168"/>
      <c r="E9" s="87"/>
      <c r="F9" s="87"/>
      <c r="G9" s="169"/>
      <c r="H9" s="130" t="s">
        <v>15</v>
      </c>
      <c r="I9" s="130" t="s">
        <v>16</v>
      </c>
      <c r="J9" s="178" t="s">
        <v>865</v>
      </c>
      <c r="K9" s="12" t="s">
        <v>866</v>
      </c>
      <c r="L9" s="12" t="s">
        <v>867</v>
      </c>
      <c r="M9" s="12" t="s">
        <v>868</v>
      </c>
      <c r="N9" s="12" t="s">
        <v>869</v>
      </c>
    </row>
    <row r="10" spans="1:14" ht="21" customHeight="1">
      <c r="A10" s="13"/>
      <c r="B10" s="13"/>
      <c r="C10" s="11" t="s">
        <v>21</v>
      </c>
      <c r="D10" s="11" t="s">
        <v>858</v>
      </c>
      <c r="E10" s="12" t="s">
        <v>23</v>
      </c>
      <c r="F10" s="12" t="s">
        <v>24</v>
      </c>
      <c r="G10" s="12" t="s">
        <v>25</v>
      </c>
      <c r="H10" s="131"/>
      <c r="I10" s="131"/>
      <c r="J10" s="179"/>
      <c r="K10" s="11" t="s">
        <v>870</v>
      </c>
      <c r="L10" s="11" t="s">
        <v>870</v>
      </c>
      <c r="M10" s="11" t="s">
        <v>871</v>
      </c>
      <c r="N10" s="11"/>
    </row>
    <row r="11" spans="1:14" ht="21" customHeight="1">
      <c r="A11" s="170" t="s">
        <v>27</v>
      </c>
      <c r="B11" s="170"/>
      <c r="C11" s="170"/>
      <c r="D11" s="171"/>
      <c r="E11" s="170"/>
      <c r="F11" s="170"/>
      <c r="G11" s="170"/>
      <c r="H11" s="170"/>
      <c r="I11" s="170"/>
      <c r="J11" s="172"/>
      <c r="K11" s="170"/>
      <c r="L11" s="170"/>
      <c r="M11" s="170"/>
      <c r="N11" s="170"/>
    </row>
    <row r="12" spans="1:14" customFormat="1" ht="25.15" customHeight="1">
      <c r="A12" s="15">
        <v>1</v>
      </c>
      <c r="B12" s="16" t="s">
        <v>28</v>
      </c>
      <c r="C12" s="17" t="s">
        <v>29</v>
      </c>
      <c r="D12" s="17" t="s">
        <v>30</v>
      </c>
      <c r="E12" s="18" t="s">
        <v>31</v>
      </c>
      <c r="F12" s="19" t="s">
        <v>32</v>
      </c>
      <c r="G12" s="18" t="s">
        <v>33</v>
      </c>
      <c r="H12" s="20">
        <v>1</v>
      </c>
      <c r="I12" s="21" t="s">
        <v>34</v>
      </c>
      <c r="J12" s="180">
        <v>1</v>
      </c>
      <c r="K12" s="22">
        <v>0.5</v>
      </c>
      <c r="L12" s="22">
        <v>0.5</v>
      </c>
      <c r="M12" s="22">
        <v>0.01</v>
      </c>
      <c r="N12" s="23" t="s">
        <v>872</v>
      </c>
    </row>
    <row r="13" spans="1:14" customFormat="1" ht="25.15" customHeight="1">
      <c r="A13" s="15">
        <v>2</v>
      </c>
      <c r="B13" s="16" t="s">
        <v>28</v>
      </c>
      <c r="C13" s="17" t="s">
        <v>36</v>
      </c>
      <c r="D13" s="24" t="s">
        <v>30</v>
      </c>
      <c r="E13" s="18" t="s">
        <v>37</v>
      </c>
      <c r="F13" s="18" t="s">
        <v>38</v>
      </c>
      <c r="G13" s="18" t="s">
        <v>39</v>
      </c>
      <c r="H13" s="20">
        <v>2</v>
      </c>
      <c r="I13" s="21" t="s">
        <v>40</v>
      </c>
      <c r="J13" s="181"/>
      <c r="K13" s="22">
        <v>2</v>
      </c>
      <c r="L13" s="22">
        <v>2</v>
      </c>
      <c r="M13" s="22">
        <v>0.01</v>
      </c>
      <c r="N13" s="23" t="s">
        <v>872</v>
      </c>
    </row>
    <row r="14" spans="1:14" customFormat="1" ht="25.15" customHeight="1">
      <c r="A14" s="15">
        <v>3</v>
      </c>
      <c r="B14" s="16" t="s">
        <v>28</v>
      </c>
      <c r="C14" s="17" t="s">
        <v>42</v>
      </c>
      <c r="D14" s="24" t="s">
        <v>43</v>
      </c>
      <c r="E14" s="18" t="s">
        <v>44</v>
      </c>
      <c r="F14" s="18" t="s">
        <v>45</v>
      </c>
      <c r="G14" s="18" t="s">
        <v>46</v>
      </c>
      <c r="H14" s="20">
        <v>4</v>
      </c>
      <c r="I14" s="21" t="s">
        <v>40</v>
      </c>
      <c r="J14" s="181"/>
      <c r="K14" s="22">
        <v>0.4</v>
      </c>
      <c r="L14" s="22">
        <v>0.5</v>
      </c>
      <c r="M14" s="22">
        <v>0.01</v>
      </c>
      <c r="N14" s="23" t="s">
        <v>872</v>
      </c>
    </row>
    <row r="15" spans="1:14" customFormat="1" ht="25.15" customHeight="1">
      <c r="A15" s="15">
        <v>4</v>
      </c>
      <c r="B15" s="16" t="s">
        <v>28</v>
      </c>
      <c r="C15" s="17" t="s">
        <v>48</v>
      </c>
      <c r="D15" s="24" t="s">
        <v>30</v>
      </c>
      <c r="E15" s="18" t="s">
        <v>49</v>
      </c>
      <c r="F15" s="18" t="s">
        <v>50</v>
      </c>
      <c r="G15" s="18" t="s">
        <v>51</v>
      </c>
      <c r="H15" s="20">
        <v>10</v>
      </c>
      <c r="I15" s="21" t="s">
        <v>40</v>
      </c>
      <c r="J15" s="181"/>
      <c r="K15" s="22">
        <v>0.4</v>
      </c>
      <c r="L15" s="22">
        <v>0.5</v>
      </c>
      <c r="M15" s="22">
        <v>0.01</v>
      </c>
      <c r="N15" s="23" t="s">
        <v>872</v>
      </c>
    </row>
    <row r="16" spans="1:14" customFormat="1" ht="25.15" customHeight="1">
      <c r="A16" s="15">
        <v>5</v>
      </c>
      <c r="B16" s="16" t="s">
        <v>28</v>
      </c>
      <c r="C16" s="17" t="s">
        <v>53</v>
      </c>
      <c r="D16" s="24" t="s">
        <v>30</v>
      </c>
      <c r="E16" s="18" t="s">
        <v>54</v>
      </c>
      <c r="F16" s="18" t="s">
        <v>55</v>
      </c>
      <c r="G16" s="18" t="s">
        <v>56</v>
      </c>
      <c r="H16" s="20">
        <v>2</v>
      </c>
      <c r="I16" s="21" t="s">
        <v>40</v>
      </c>
      <c r="J16" s="182"/>
      <c r="K16" s="22">
        <v>0.1</v>
      </c>
      <c r="L16" s="22">
        <v>0.2</v>
      </c>
      <c r="M16" s="22">
        <v>0.01</v>
      </c>
      <c r="N16" s="23" t="s">
        <v>872</v>
      </c>
    </row>
    <row r="17" spans="1:14" customFormat="1" ht="25.15" customHeight="1">
      <c r="A17" s="15">
        <v>6</v>
      </c>
      <c r="B17" s="16" t="s">
        <v>28</v>
      </c>
      <c r="C17" s="17" t="s">
        <v>58</v>
      </c>
      <c r="D17" s="24" t="s">
        <v>30</v>
      </c>
      <c r="E17" s="18" t="s">
        <v>59</v>
      </c>
      <c r="F17" s="18" t="s">
        <v>60</v>
      </c>
      <c r="G17" s="18" t="s">
        <v>61</v>
      </c>
      <c r="H17" s="20">
        <v>5</v>
      </c>
      <c r="I17" s="21" t="s">
        <v>40</v>
      </c>
      <c r="J17" s="20">
        <v>1</v>
      </c>
      <c r="K17" s="22">
        <v>0.1</v>
      </c>
      <c r="L17" s="22">
        <v>0.2</v>
      </c>
      <c r="M17" s="22">
        <v>0.01</v>
      </c>
      <c r="N17" s="23" t="s">
        <v>873</v>
      </c>
    </row>
    <row r="18" spans="1:14" customFormat="1" ht="25.15" customHeight="1">
      <c r="A18" s="15">
        <v>7</v>
      </c>
      <c r="B18" s="16" t="s">
        <v>28</v>
      </c>
      <c r="C18" s="17" t="s">
        <v>63</v>
      </c>
      <c r="D18" s="24" t="s">
        <v>30</v>
      </c>
      <c r="E18" s="18" t="s">
        <v>64</v>
      </c>
      <c r="F18" s="18" t="s">
        <v>65</v>
      </c>
      <c r="G18" s="18" t="s">
        <v>66</v>
      </c>
      <c r="H18" s="20">
        <v>20</v>
      </c>
      <c r="I18" s="21" t="s">
        <v>40</v>
      </c>
      <c r="J18" s="180">
        <v>1</v>
      </c>
      <c r="K18" s="22">
        <v>1</v>
      </c>
      <c r="L18" s="22">
        <v>1</v>
      </c>
      <c r="M18" s="22">
        <v>0.01</v>
      </c>
      <c r="N18" s="23" t="s">
        <v>872</v>
      </c>
    </row>
    <row r="19" spans="1:14" customFormat="1" ht="25.15" customHeight="1">
      <c r="A19" s="15">
        <v>8</v>
      </c>
      <c r="B19" s="16" t="s">
        <v>28</v>
      </c>
      <c r="C19" s="17" t="s">
        <v>68</v>
      </c>
      <c r="D19" s="24" t="s">
        <v>30</v>
      </c>
      <c r="E19" s="18" t="s">
        <v>69</v>
      </c>
      <c r="F19" s="18" t="s">
        <v>70</v>
      </c>
      <c r="G19" s="18" t="s">
        <v>71</v>
      </c>
      <c r="H19" s="20">
        <v>20</v>
      </c>
      <c r="I19" s="21" t="s">
        <v>40</v>
      </c>
      <c r="J19" s="181"/>
      <c r="K19" s="22">
        <v>0.5</v>
      </c>
      <c r="L19" s="22">
        <v>0.5</v>
      </c>
      <c r="M19" s="22">
        <v>0.01</v>
      </c>
      <c r="N19" s="23" t="s">
        <v>872</v>
      </c>
    </row>
    <row r="20" spans="1:14" customFormat="1" ht="25.15" customHeight="1">
      <c r="A20" s="15">
        <v>9</v>
      </c>
      <c r="B20" s="16" t="s">
        <v>28</v>
      </c>
      <c r="C20" s="17" t="s">
        <v>73</v>
      </c>
      <c r="D20" s="24" t="s">
        <v>30</v>
      </c>
      <c r="E20" s="18" t="s">
        <v>69</v>
      </c>
      <c r="F20" s="18" t="s">
        <v>74</v>
      </c>
      <c r="G20" s="18" t="s">
        <v>75</v>
      </c>
      <c r="H20" s="20">
        <v>50</v>
      </c>
      <c r="I20" s="21" t="s">
        <v>40</v>
      </c>
      <c r="J20" s="181"/>
      <c r="K20" s="22">
        <v>1</v>
      </c>
      <c r="L20" s="22">
        <v>1</v>
      </c>
      <c r="M20" s="22">
        <v>0.01</v>
      </c>
      <c r="N20" s="23" t="s">
        <v>872</v>
      </c>
    </row>
    <row r="21" spans="1:14" customFormat="1" ht="25.15" customHeight="1">
      <c r="A21" s="15">
        <v>10</v>
      </c>
      <c r="B21" s="16" t="s">
        <v>28</v>
      </c>
      <c r="C21" s="17" t="s">
        <v>77</v>
      </c>
      <c r="D21" s="24" t="s">
        <v>30</v>
      </c>
      <c r="E21" s="18" t="s">
        <v>78</v>
      </c>
      <c r="F21" s="18" t="s">
        <v>79</v>
      </c>
      <c r="G21" s="18" t="s">
        <v>80</v>
      </c>
      <c r="H21" s="20">
        <v>4</v>
      </c>
      <c r="I21" s="21" t="s">
        <v>40</v>
      </c>
      <c r="J21" s="181"/>
      <c r="K21" s="22">
        <v>12</v>
      </c>
      <c r="L21" s="22">
        <v>12</v>
      </c>
      <c r="M21" s="22">
        <v>0.02</v>
      </c>
      <c r="N21" s="23" t="s">
        <v>872</v>
      </c>
    </row>
    <row r="22" spans="1:14" customFormat="1" ht="25.15" customHeight="1">
      <c r="A22" s="15">
        <v>11</v>
      </c>
      <c r="B22" s="16" t="s">
        <v>28</v>
      </c>
      <c r="C22" s="17" t="s">
        <v>82</v>
      </c>
      <c r="D22" s="24" t="s">
        <v>30</v>
      </c>
      <c r="E22" s="18" t="s">
        <v>83</v>
      </c>
      <c r="F22" s="18">
        <v>4584002159</v>
      </c>
      <c r="G22" s="18" t="s">
        <v>84</v>
      </c>
      <c r="H22" s="20">
        <v>2</v>
      </c>
      <c r="I22" s="21" t="s">
        <v>40</v>
      </c>
      <c r="J22" s="181"/>
      <c r="K22" s="22">
        <v>6</v>
      </c>
      <c r="L22" s="22">
        <v>6</v>
      </c>
      <c r="M22" s="22">
        <v>0.01</v>
      </c>
      <c r="N22" s="23" t="s">
        <v>872</v>
      </c>
    </row>
    <row r="23" spans="1:14" customFormat="1" ht="25.15" customHeight="1">
      <c r="A23" s="15">
        <v>12</v>
      </c>
      <c r="B23" s="16" t="s">
        <v>28</v>
      </c>
      <c r="C23" s="17" t="s">
        <v>86</v>
      </c>
      <c r="D23" s="24" t="s">
        <v>30</v>
      </c>
      <c r="E23" s="18" t="s">
        <v>87</v>
      </c>
      <c r="F23" s="18">
        <v>4584002158</v>
      </c>
      <c r="G23" s="18" t="s">
        <v>88</v>
      </c>
      <c r="H23" s="20">
        <v>2</v>
      </c>
      <c r="I23" s="21" t="s">
        <v>40</v>
      </c>
      <c r="J23" s="181"/>
      <c r="K23" s="22">
        <v>6</v>
      </c>
      <c r="L23" s="22">
        <v>6</v>
      </c>
      <c r="M23" s="22">
        <v>0.01</v>
      </c>
      <c r="N23" s="23" t="s">
        <v>872</v>
      </c>
    </row>
    <row r="24" spans="1:14" customFormat="1" ht="25.15" customHeight="1">
      <c r="A24" s="15">
        <v>13</v>
      </c>
      <c r="B24" s="16" t="s">
        <v>28</v>
      </c>
      <c r="C24" s="17" t="s">
        <v>90</v>
      </c>
      <c r="D24" s="24" t="s">
        <v>30</v>
      </c>
      <c r="E24" s="18" t="s">
        <v>91</v>
      </c>
      <c r="F24" s="18" t="s">
        <v>92</v>
      </c>
      <c r="G24" s="18" t="s">
        <v>93</v>
      </c>
      <c r="H24" s="20">
        <v>2</v>
      </c>
      <c r="I24" s="21" t="s">
        <v>40</v>
      </c>
      <c r="J24" s="182"/>
      <c r="K24" s="22">
        <v>0.1</v>
      </c>
      <c r="L24" s="22">
        <v>0.2</v>
      </c>
      <c r="M24" s="22">
        <v>0.01</v>
      </c>
      <c r="N24" s="23" t="s">
        <v>872</v>
      </c>
    </row>
    <row r="25" spans="1:14" customFormat="1" ht="25.15" customHeight="1">
      <c r="A25" s="15">
        <v>14</v>
      </c>
      <c r="B25" s="16" t="s">
        <v>28</v>
      </c>
      <c r="C25" s="17" t="s">
        <v>95</v>
      </c>
      <c r="D25" s="24" t="s">
        <v>30</v>
      </c>
      <c r="E25" s="18" t="s">
        <v>96</v>
      </c>
      <c r="F25" s="18" t="s">
        <v>97</v>
      </c>
      <c r="G25" s="18" t="s">
        <v>98</v>
      </c>
      <c r="H25" s="20">
        <v>3</v>
      </c>
      <c r="I25" s="21" t="s">
        <v>40</v>
      </c>
      <c r="J25" s="20">
        <v>1</v>
      </c>
      <c r="K25" s="22">
        <v>27</v>
      </c>
      <c r="L25" s="22">
        <v>27</v>
      </c>
      <c r="M25" s="22">
        <v>0.4</v>
      </c>
      <c r="N25" s="23" t="s">
        <v>873</v>
      </c>
    </row>
    <row r="26" spans="1:14" customFormat="1" ht="25.15" customHeight="1">
      <c r="A26" s="15">
        <v>15</v>
      </c>
      <c r="B26" s="16" t="s">
        <v>28</v>
      </c>
      <c r="C26" s="17" t="s">
        <v>100</v>
      </c>
      <c r="D26" s="24" t="s">
        <v>30</v>
      </c>
      <c r="E26" s="18" t="s">
        <v>101</v>
      </c>
      <c r="F26" s="18">
        <v>4553006658</v>
      </c>
      <c r="G26" s="18" t="s">
        <v>102</v>
      </c>
      <c r="H26" s="20">
        <v>2</v>
      </c>
      <c r="I26" s="21" t="s">
        <v>40</v>
      </c>
      <c r="J26" s="20">
        <v>1</v>
      </c>
      <c r="K26" s="22">
        <v>7</v>
      </c>
      <c r="L26" s="22">
        <v>7</v>
      </c>
      <c r="M26" s="22">
        <v>0.01</v>
      </c>
      <c r="N26" s="23" t="s">
        <v>873</v>
      </c>
    </row>
    <row r="27" spans="1:14" customFormat="1" ht="25.15" customHeight="1">
      <c r="A27" s="15">
        <v>16</v>
      </c>
      <c r="B27" s="16" t="s">
        <v>28</v>
      </c>
      <c r="C27" s="17" t="s">
        <v>104</v>
      </c>
      <c r="D27" s="24" t="s">
        <v>30</v>
      </c>
      <c r="E27" s="18" t="s">
        <v>105</v>
      </c>
      <c r="F27" s="18">
        <v>4553006662</v>
      </c>
      <c r="G27" s="18" t="s">
        <v>106</v>
      </c>
      <c r="H27" s="20">
        <v>2</v>
      </c>
      <c r="I27" s="21" t="s">
        <v>40</v>
      </c>
      <c r="J27" s="180">
        <v>1</v>
      </c>
      <c r="K27" s="22">
        <v>2</v>
      </c>
      <c r="L27" s="22">
        <v>2</v>
      </c>
      <c r="M27" s="22">
        <v>0.01</v>
      </c>
      <c r="N27" s="23" t="s">
        <v>872</v>
      </c>
    </row>
    <row r="28" spans="1:14" customFormat="1" ht="25.15" customHeight="1">
      <c r="A28" s="15">
        <v>17</v>
      </c>
      <c r="B28" s="16" t="s">
        <v>28</v>
      </c>
      <c r="C28" s="17" t="s">
        <v>108</v>
      </c>
      <c r="D28" s="24" t="s">
        <v>30</v>
      </c>
      <c r="E28" s="18" t="s">
        <v>109</v>
      </c>
      <c r="F28" s="18" t="s">
        <v>110</v>
      </c>
      <c r="G28" s="18" t="s">
        <v>111</v>
      </c>
      <c r="H28" s="20">
        <v>2</v>
      </c>
      <c r="I28" s="21" t="s">
        <v>40</v>
      </c>
      <c r="J28" s="181"/>
      <c r="K28" s="22">
        <v>6</v>
      </c>
      <c r="L28" s="22">
        <v>6</v>
      </c>
      <c r="M28" s="22">
        <v>0.01</v>
      </c>
      <c r="N28" s="23" t="s">
        <v>872</v>
      </c>
    </row>
    <row r="29" spans="1:14" customFormat="1" ht="25.15" customHeight="1">
      <c r="A29" s="15">
        <v>18</v>
      </c>
      <c r="B29" s="16" t="s">
        <v>28</v>
      </c>
      <c r="C29" s="17" t="s">
        <v>113</v>
      </c>
      <c r="D29" s="24" t="s">
        <v>30</v>
      </c>
      <c r="E29" s="18" t="s">
        <v>114</v>
      </c>
      <c r="F29" s="18" t="s">
        <v>115</v>
      </c>
      <c r="G29" s="18" t="s">
        <v>116</v>
      </c>
      <c r="H29" s="20">
        <v>4</v>
      </c>
      <c r="I29" s="21" t="s">
        <v>40</v>
      </c>
      <c r="J29" s="181"/>
      <c r="K29" s="22">
        <v>0.1</v>
      </c>
      <c r="L29" s="22">
        <v>0.2</v>
      </c>
      <c r="M29" s="22">
        <v>0.01</v>
      </c>
      <c r="N29" s="23" t="s">
        <v>872</v>
      </c>
    </row>
    <row r="30" spans="1:14" customFormat="1" ht="25.15" customHeight="1">
      <c r="A30" s="15">
        <v>19</v>
      </c>
      <c r="B30" s="16" t="s">
        <v>28</v>
      </c>
      <c r="C30" s="17" t="s">
        <v>118</v>
      </c>
      <c r="D30" s="24" t="s">
        <v>30</v>
      </c>
      <c r="E30" s="18" t="s">
        <v>119</v>
      </c>
      <c r="F30" s="18" t="s">
        <v>120</v>
      </c>
      <c r="G30" s="18" t="s">
        <v>121</v>
      </c>
      <c r="H30" s="20">
        <v>3</v>
      </c>
      <c r="I30" s="21" t="s">
        <v>40</v>
      </c>
      <c r="J30" s="181"/>
      <c r="K30" s="22">
        <v>9</v>
      </c>
      <c r="L30" s="22">
        <v>9</v>
      </c>
      <c r="M30" s="22">
        <v>0.03</v>
      </c>
      <c r="N30" s="23" t="s">
        <v>872</v>
      </c>
    </row>
    <row r="31" spans="1:14" customFormat="1" ht="25.15" customHeight="1">
      <c r="A31" s="15">
        <v>20</v>
      </c>
      <c r="B31" s="16" t="s">
        <v>28</v>
      </c>
      <c r="C31" s="17" t="s">
        <v>123</v>
      </c>
      <c r="D31" s="24" t="s">
        <v>30</v>
      </c>
      <c r="E31" s="18" t="s">
        <v>124</v>
      </c>
      <c r="F31" s="18">
        <v>4581007526</v>
      </c>
      <c r="G31" s="18" t="s">
        <v>125</v>
      </c>
      <c r="H31" s="20">
        <v>3</v>
      </c>
      <c r="I31" s="21" t="s">
        <v>40</v>
      </c>
      <c r="J31" s="181"/>
      <c r="K31" s="22">
        <v>1</v>
      </c>
      <c r="L31" s="22">
        <v>1</v>
      </c>
      <c r="M31" s="22">
        <v>0.01</v>
      </c>
      <c r="N31" s="23" t="s">
        <v>872</v>
      </c>
    </row>
    <row r="32" spans="1:14" customFormat="1" ht="25.15" customHeight="1">
      <c r="A32" s="15">
        <v>21</v>
      </c>
      <c r="B32" s="16" t="s">
        <v>28</v>
      </c>
      <c r="C32" s="17" t="s">
        <v>127</v>
      </c>
      <c r="D32" s="24" t="s">
        <v>30</v>
      </c>
      <c r="E32" s="18" t="s">
        <v>128</v>
      </c>
      <c r="F32" s="18">
        <v>4581007525</v>
      </c>
      <c r="G32" s="18" t="s">
        <v>129</v>
      </c>
      <c r="H32" s="20">
        <v>3</v>
      </c>
      <c r="I32" s="21" t="s">
        <v>40</v>
      </c>
      <c r="J32" s="181"/>
      <c r="K32" s="22">
        <v>0.5</v>
      </c>
      <c r="L32" s="22">
        <v>0.5</v>
      </c>
      <c r="M32" s="22">
        <v>0.01</v>
      </c>
      <c r="N32" s="23" t="s">
        <v>872</v>
      </c>
    </row>
    <row r="33" spans="1:14" customFormat="1" ht="25.15" customHeight="1">
      <c r="A33" s="15">
        <v>22</v>
      </c>
      <c r="B33" s="16" t="s">
        <v>28</v>
      </c>
      <c r="C33" s="17" t="s">
        <v>131</v>
      </c>
      <c r="D33" s="24" t="s">
        <v>30</v>
      </c>
      <c r="E33" s="18" t="s">
        <v>132</v>
      </c>
      <c r="F33" s="18">
        <v>4581007527</v>
      </c>
      <c r="G33" s="18" t="s">
        <v>133</v>
      </c>
      <c r="H33" s="20">
        <v>3</v>
      </c>
      <c r="I33" s="21" t="s">
        <v>40</v>
      </c>
      <c r="J33" s="181"/>
      <c r="K33" s="22">
        <v>0.5</v>
      </c>
      <c r="L33" s="22">
        <v>0.5</v>
      </c>
      <c r="M33" s="22">
        <v>0.01</v>
      </c>
      <c r="N33" s="23" t="s">
        <v>872</v>
      </c>
    </row>
    <row r="34" spans="1:14" customFormat="1" ht="25.15" customHeight="1">
      <c r="A34" s="15">
        <v>23</v>
      </c>
      <c r="B34" s="16" t="s">
        <v>28</v>
      </c>
      <c r="C34" s="17" t="s">
        <v>135</v>
      </c>
      <c r="D34" s="24" t="s">
        <v>30</v>
      </c>
      <c r="E34" s="18" t="s">
        <v>136</v>
      </c>
      <c r="F34" s="18" t="s">
        <v>137</v>
      </c>
      <c r="G34" s="18" t="s">
        <v>138</v>
      </c>
      <c r="H34" s="20">
        <v>3</v>
      </c>
      <c r="I34" s="21" t="s">
        <v>40</v>
      </c>
      <c r="J34" s="181"/>
      <c r="K34" s="22">
        <v>0.1</v>
      </c>
      <c r="L34" s="22">
        <v>0.2</v>
      </c>
      <c r="M34" s="22">
        <v>0.01</v>
      </c>
      <c r="N34" s="23" t="s">
        <v>872</v>
      </c>
    </row>
    <row r="35" spans="1:14" customFormat="1" ht="25.15" customHeight="1">
      <c r="A35" s="15">
        <v>24</v>
      </c>
      <c r="B35" s="16" t="s">
        <v>28</v>
      </c>
      <c r="C35" s="17" t="s">
        <v>140</v>
      </c>
      <c r="D35" s="24" t="s">
        <v>30</v>
      </c>
      <c r="E35" s="18" t="s">
        <v>141</v>
      </c>
      <c r="F35" s="18" t="s">
        <v>142</v>
      </c>
      <c r="G35" s="18" t="s">
        <v>143</v>
      </c>
      <c r="H35" s="20">
        <v>3</v>
      </c>
      <c r="I35" s="21" t="s">
        <v>40</v>
      </c>
      <c r="J35" s="181"/>
      <c r="K35" s="22">
        <v>0.1</v>
      </c>
      <c r="L35" s="22">
        <v>0.2</v>
      </c>
      <c r="M35" s="22">
        <v>0.01</v>
      </c>
      <c r="N35" s="23" t="s">
        <v>872</v>
      </c>
    </row>
    <row r="36" spans="1:14" customFormat="1" ht="25.15" customHeight="1">
      <c r="A36" s="15">
        <v>25</v>
      </c>
      <c r="B36" s="16" t="s">
        <v>28</v>
      </c>
      <c r="C36" s="17" t="s">
        <v>145</v>
      </c>
      <c r="D36" s="24" t="s">
        <v>30</v>
      </c>
      <c r="E36" s="18" t="s">
        <v>146</v>
      </c>
      <c r="F36" s="18" t="s">
        <v>147</v>
      </c>
      <c r="G36" s="18" t="s">
        <v>148</v>
      </c>
      <c r="H36" s="20">
        <v>3</v>
      </c>
      <c r="I36" s="21" t="s">
        <v>40</v>
      </c>
      <c r="J36" s="181"/>
      <c r="K36" s="22">
        <v>0.1</v>
      </c>
      <c r="L36" s="22">
        <v>0.2</v>
      </c>
      <c r="M36" s="22">
        <v>0.01</v>
      </c>
      <c r="N36" s="23" t="s">
        <v>872</v>
      </c>
    </row>
    <row r="37" spans="1:14" customFormat="1" ht="25.15" customHeight="1">
      <c r="A37" s="15">
        <v>26</v>
      </c>
      <c r="B37" s="16" t="s">
        <v>28</v>
      </c>
      <c r="C37" s="17" t="s">
        <v>150</v>
      </c>
      <c r="D37" s="24" t="s">
        <v>30</v>
      </c>
      <c r="E37" s="18" t="s">
        <v>151</v>
      </c>
      <c r="F37" s="18" t="s">
        <v>152</v>
      </c>
      <c r="G37" s="18" t="s">
        <v>153</v>
      </c>
      <c r="H37" s="20">
        <v>5</v>
      </c>
      <c r="I37" s="21" t="s">
        <v>40</v>
      </c>
      <c r="J37" s="182"/>
      <c r="K37" s="22">
        <v>0.1</v>
      </c>
      <c r="L37" s="22">
        <v>0.2</v>
      </c>
      <c r="M37" s="22">
        <v>0.01</v>
      </c>
      <c r="N37" s="23" t="s">
        <v>872</v>
      </c>
    </row>
    <row r="38" spans="1:14" customFormat="1" ht="25.15" customHeight="1">
      <c r="A38" s="15">
        <v>27</v>
      </c>
      <c r="B38" s="16" t="s">
        <v>28</v>
      </c>
      <c r="C38" s="17" t="s">
        <v>155</v>
      </c>
      <c r="D38" s="24" t="s">
        <v>30</v>
      </c>
      <c r="E38" s="18" t="s">
        <v>156</v>
      </c>
      <c r="F38" s="18" t="s">
        <v>157</v>
      </c>
      <c r="G38" s="18" t="s">
        <v>158</v>
      </c>
      <c r="H38" s="20">
        <v>5</v>
      </c>
      <c r="I38" s="21" t="s">
        <v>40</v>
      </c>
      <c r="J38" s="20">
        <v>1</v>
      </c>
      <c r="K38" s="22">
        <v>0.1</v>
      </c>
      <c r="L38" s="22">
        <v>0.2</v>
      </c>
      <c r="M38" s="22">
        <v>0.01</v>
      </c>
      <c r="N38" s="23" t="s">
        <v>873</v>
      </c>
    </row>
    <row r="39" spans="1:14" customFormat="1" ht="25.15" customHeight="1">
      <c r="A39" s="15">
        <v>28</v>
      </c>
      <c r="B39" s="16" t="s">
        <v>28</v>
      </c>
      <c r="C39" s="17" t="s">
        <v>160</v>
      </c>
      <c r="D39" s="24" t="s">
        <v>30</v>
      </c>
      <c r="E39" s="18" t="s">
        <v>161</v>
      </c>
      <c r="F39" s="18" t="s">
        <v>162</v>
      </c>
      <c r="G39" s="18" t="s">
        <v>163</v>
      </c>
      <c r="H39" s="20">
        <v>20</v>
      </c>
      <c r="I39" s="21" t="s">
        <v>40</v>
      </c>
      <c r="J39" s="20">
        <v>1</v>
      </c>
      <c r="K39" s="22">
        <v>1</v>
      </c>
      <c r="L39" s="22">
        <v>1</v>
      </c>
      <c r="M39" s="22">
        <v>0.01</v>
      </c>
      <c r="N39" s="23" t="s">
        <v>872</v>
      </c>
    </row>
    <row r="40" spans="1:14" customFormat="1" ht="25.15" customHeight="1">
      <c r="A40" s="15">
        <v>29</v>
      </c>
      <c r="B40" s="16" t="s">
        <v>28</v>
      </c>
      <c r="C40" s="17" t="s">
        <v>165</v>
      </c>
      <c r="D40" s="24" t="s">
        <v>30</v>
      </c>
      <c r="E40" s="18" t="s">
        <v>166</v>
      </c>
      <c r="F40" s="18">
        <v>4535004234</v>
      </c>
      <c r="G40" s="18" t="s">
        <v>167</v>
      </c>
      <c r="H40" s="20">
        <v>2</v>
      </c>
      <c r="I40" s="21" t="s">
        <v>40</v>
      </c>
      <c r="J40" s="20">
        <v>1</v>
      </c>
      <c r="K40" s="22">
        <v>0.5</v>
      </c>
      <c r="L40" s="22">
        <v>0.5</v>
      </c>
      <c r="M40" s="22">
        <v>0.01</v>
      </c>
      <c r="N40" s="23" t="s">
        <v>872</v>
      </c>
    </row>
    <row r="41" spans="1:14" customFormat="1" ht="25.15" customHeight="1">
      <c r="A41" s="15">
        <v>30</v>
      </c>
      <c r="B41" s="16" t="s">
        <v>28</v>
      </c>
      <c r="C41" s="17" t="s">
        <v>169</v>
      </c>
      <c r="D41" s="24" t="s">
        <v>30</v>
      </c>
      <c r="E41" s="18" t="s">
        <v>170</v>
      </c>
      <c r="F41" s="18" t="s">
        <v>171</v>
      </c>
      <c r="G41" s="18" t="s">
        <v>172</v>
      </c>
      <c r="H41" s="20">
        <v>2</v>
      </c>
      <c r="I41" s="21" t="s">
        <v>40</v>
      </c>
      <c r="J41" s="20">
        <v>1</v>
      </c>
      <c r="K41" s="22">
        <v>4</v>
      </c>
      <c r="L41" s="22">
        <v>4</v>
      </c>
      <c r="M41" s="22">
        <v>0.03</v>
      </c>
      <c r="N41" s="23" t="s">
        <v>872</v>
      </c>
    </row>
    <row r="42" spans="1:14" customFormat="1" ht="25.15" customHeight="1">
      <c r="A42" s="15">
        <v>31</v>
      </c>
      <c r="B42" s="16" t="s">
        <v>28</v>
      </c>
      <c r="C42" s="17" t="s">
        <v>174</v>
      </c>
      <c r="D42" s="24" t="s">
        <v>30</v>
      </c>
      <c r="E42" s="18" t="s">
        <v>175</v>
      </c>
      <c r="F42" s="18" t="s">
        <v>176</v>
      </c>
      <c r="G42" s="18" t="s">
        <v>177</v>
      </c>
      <c r="H42" s="20">
        <v>2</v>
      </c>
      <c r="I42" s="21" t="s">
        <v>40</v>
      </c>
      <c r="J42" s="20">
        <v>1</v>
      </c>
      <c r="K42" s="22">
        <v>10</v>
      </c>
      <c r="L42" s="22">
        <v>10</v>
      </c>
      <c r="M42" s="22">
        <v>0.01</v>
      </c>
      <c r="N42" s="23" t="s">
        <v>874</v>
      </c>
    </row>
    <row r="43" spans="1:14" customFormat="1" ht="25.15" customHeight="1">
      <c r="A43" s="15">
        <v>32</v>
      </c>
      <c r="B43" s="16" t="s">
        <v>28</v>
      </c>
      <c r="C43" s="17" t="s">
        <v>174</v>
      </c>
      <c r="D43" s="24" t="s">
        <v>30</v>
      </c>
      <c r="E43" s="18" t="s">
        <v>175</v>
      </c>
      <c r="F43" s="18" t="s">
        <v>179</v>
      </c>
      <c r="G43" s="18" t="s">
        <v>180</v>
      </c>
      <c r="H43" s="20">
        <v>2</v>
      </c>
      <c r="I43" s="21" t="s">
        <v>40</v>
      </c>
      <c r="J43" s="20">
        <v>1</v>
      </c>
      <c r="K43" s="22">
        <v>10</v>
      </c>
      <c r="L43" s="22">
        <v>10</v>
      </c>
      <c r="M43" s="22">
        <v>0.01</v>
      </c>
      <c r="N43" s="23" t="s">
        <v>874</v>
      </c>
    </row>
    <row r="44" spans="1:14" customFormat="1" ht="25.15" customHeight="1">
      <c r="A44" s="15">
        <v>33</v>
      </c>
      <c r="B44" s="16" t="s">
        <v>28</v>
      </c>
      <c r="C44" s="17" t="s">
        <v>182</v>
      </c>
      <c r="D44" s="24" t="s">
        <v>30</v>
      </c>
      <c r="E44" s="18" t="s">
        <v>183</v>
      </c>
      <c r="F44" s="18" t="s">
        <v>184</v>
      </c>
      <c r="G44" s="18" t="s">
        <v>185</v>
      </c>
      <c r="H44" s="20">
        <v>12</v>
      </c>
      <c r="I44" s="21" t="s">
        <v>40</v>
      </c>
      <c r="J44" s="180">
        <v>1</v>
      </c>
      <c r="K44" s="22">
        <v>0.1</v>
      </c>
      <c r="L44" s="22">
        <v>0.2</v>
      </c>
      <c r="M44" s="22">
        <v>0.01</v>
      </c>
      <c r="N44" s="23" t="s">
        <v>872</v>
      </c>
    </row>
    <row r="45" spans="1:14" customFormat="1" ht="25.15" customHeight="1">
      <c r="A45" s="15">
        <v>34</v>
      </c>
      <c r="B45" s="16" t="s">
        <v>28</v>
      </c>
      <c r="C45" s="17" t="s">
        <v>187</v>
      </c>
      <c r="D45" s="24" t="s">
        <v>30</v>
      </c>
      <c r="E45" s="18" t="s">
        <v>188</v>
      </c>
      <c r="F45" s="18" t="s">
        <v>189</v>
      </c>
      <c r="G45" s="18" t="s">
        <v>190</v>
      </c>
      <c r="H45" s="20">
        <v>20</v>
      </c>
      <c r="I45" s="21" t="s">
        <v>40</v>
      </c>
      <c r="J45" s="181"/>
      <c r="K45" s="22">
        <v>1</v>
      </c>
      <c r="L45" s="22">
        <v>1</v>
      </c>
      <c r="M45" s="22">
        <v>0.01</v>
      </c>
      <c r="N45" s="23" t="s">
        <v>872</v>
      </c>
    </row>
    <row r="46" spans="1:14" customFormat="1" ht="25.15" customHeight="1">
      <c r="A46" s="15">
        <v>35</v>
      </c>
      <c r="B46" s="16" t="s">
        <v>28</v>
      </c>
      <c r="C46" s="17" t="s">
        <v>192</v>
      </c>
      <c r="D46" s="24" t="s">
        <v>30</v>
      </c>
      <c r="E46" s="18" t="s">
        <v>193</v>
      </c>
      <c r="F46" s="18" t="s">
        <v>194</v>
      </c>
      <c r="G46" s="18" t="s">
        <v>195</v>
      </c>
      <c r="H46" s="20">
        <v>10</v>
      </c>
      <c r="I46" s="21" t="s">
        <v>40</v>
      </c>
      <c r="J46" s="181"/>
      <c r="K46" s="22">
        <v>2</v>
      </c>
      <c r="L46" s="22">
        <v>2</v>
      </c>
      <c r="M46" s="22">
        <v>0.01</v>
      </c>
      <c r="N46" s="23" t="s">
        <v>872</v>
      </c>
    </row>
    <row r="47" spans="1:14" customFormat="1" ht="25.15" customHeight="1">
      <c r="A47" s="15">
        <v>36</v>
      </c>
      <c r="B47" s="16" t="s">
        <v>28</v>
      </c>
      <c r="C47" s="17" t="s">
        <v>197</v>
      </c>
      <c r="D47" s="24" t="s">
        <v>30</v>
      </c>
      <c r="E47" s="18" t="s">
        <v>198</v>
      </c>
      <c r="F47" s="18" t="s">
        <v>199</v>
      </c>
      <c r="G47" s="18" t="s">
        <v>200</v>
      </c>
      <c r="H47" s="20">
        <v>3</v>
      </c>
      <c r="I47" s="21" t="s">
        <v>40</v>
      </c>
      <c r="J47" s="181"/>
      <c r="K47" s="22">
        <v>0.5</v>
      </c>
      <c r="L47" s="22">
        <v>0.5</v>
      </c>
      <c r="M47" s="22">
        <v>0.01</v>
      </c>
      <c r="N47" s="23" t="s">
        <v>872</v>
      </c>
    </row>
    <row r="48" spans="1:14" customFormat="1" ht="25.15" customHeight="1">
      <c r="A48" s="15">
        <v>37</v>
      </c>
      <c r="B48" s="16" t="s">
        <v>28</v>
      </c>
      <c r="C48" s="17" t="s">
        <v>202</v>
      </c>
      <c r="D48" s="24" t="s">
        <v>30</v>
      </c>
      <c r="E48" s="18" t="s">
        <v>203</v>
      </c>
      <c r="F48" s="18" t="s">
        <v>204</v>
      </c>
      <c r="G48" s="18" t="s">
        <v>205</v>
      </c>
      <c r="H48" s="20">
        <v>50</v>
      </c>
      <c r="I48" s="21" t="s">
        <v>40</v>
      </c>
      <c r="J48" s="181"/>
      <c r="K48" s="22">
        <v>4</v>
      </c>
      <c r="L48" s="22">
        <v>4</v>
      </c>
      <c r="M48" s="22">
        <v>0.01</v>
      </c>
      <c r="N48" s="23" t="s">
        <v>872</v>
      </c>
    </row>
    <row r="49" spans="1:14" customFormat="1" ht="25.15" customHeight="1">
      <c r="A49" s="15">
        <v>38</v>
      </c>
      <c r="B49" s="16" t="s">
        <v>28</v>
      </c>
      <c r="C49" s="17" t="s">
        <v>207</v>
      </c>
      <c r="D49" s="24" t="s">
        <v>30</v>
      </c>
      <c r="E49" s="18" t="s">
        <v>208</v>
      </c>
      <c r="F49" s="18">
        <v>4535015390</v>
      </c>
      <c r="G49" s="18" t="s">
        <v>209</v>
      </c>
      <c r="H49" s="20">
        <v>2</v>
      </c>
      <c r="I49" s="21" t="s">
        <v>40</v>
      </c>
      <c r="J49" s="182"/>
      <c r="K49" s="22">
        <v>4</v>
      </c>
      <c r="L49" s="22">
        <v>4</v>
      </c>
      <c r="M49" s="22">
        <v>0.01</v>
      </c>
      <c r="N49" s="23" t="s">
        <v>872</v>
      </c>
    </row>
    <row r="50" spans="1:14" customFormat="1" ht="25.15" customHeight="1">
      <c r="A50" s="15">
        <v>39</v>
      </c>
      <c r="B50" s="16" t="s">
        <v>28</v>
      </c>
      <c r="C50" s="17" t="s">
        <v>211</v>
      </c>
      <c r="D50" s="24" t="s">
        <v>30</v>
      </c>
      <c r="E50" s="18" t="s">
        <v>212</v>
      </c>
      <c r="F50" s="18">
        <v>4537009506</v>
      </c>
      <c r="G50" s="18" t="s">
        <v>213</v>
      </c>
      <c r="H50" s="20">
        <v>5</v>
      </c>
      <c r="I50" s="21" t="s">
        <v>40</v>
      </c>
      <c r="J50" s="20">
        <v>1</v>
      </c>
      <c r="K50" s="22">
        <v>3</v>
      </c>
      <c r="L50" s="22">
        <v>3</v>
      </c>
      <c r="M50" s="22">
        <v>0.02</v>
      </c>
      <c r="N50" s="23" t="s">
        <v>875</v>
      </c>
    </row>
    <row r="51" spans="1:14" customFormat="1" ht="25.15" customHeight="1">
      <c r="A51" s="15">
        <v>40</v>
      </c>
      <c r="B51" s="16" t="s">
        <v>28</v>
      </c>
      <c r="C51" s="17" t="s">
        <v>215</v>
      </c>
      <c r="D51" s="24" t="s">
        <v>30</v>
      </c>
      <c r="E51" s="18" t="s">
        <v>216</v>
      </c>
      <c r="F51" s="18" t="s">
        <v>217</v>
      </c>
      <c r="G51" s="18" t="s">
        <v>218</v>
      </c>
      <c r="H51" s="20">
        <v>5</v>
      </c>
      <c r="I51" s="21" t="s">
        <v>40</v>
      </c>
      <c r="J51" s="180">
        <v>1</v>
      </c>
      <c r="K51" s="22">
        <v>0.1</v>
      </c>
      <c r="L51" s="22">
        <v>0.2</v>
      </c>
      <c r="M51" s="22">
        <v>0.01</v>
      </c>
      <c r="N51" s="23" t="s">
        <v>872</v>
      </c>
    </row>
    <row r="52" spans="1:14" customFormat="1" ht="25.15" customHeight="1">
      <c r="A52" s="15">
        <v>41</v>
      </c>
      <c r="B52" s="16" t="s">
        <v>28</v>
      </c>
      <c r="C52" s="17" t="s">
        <v>215</v>
      </c>
      <c r="D52" s="24" t="s">
        <v>30</v>
      </c>
      <c r="E52" s="18" t="s">
        <v>220</v>
      </c>
      <c r="F52" s="18" t="s">
        <v>221</v>
      </c>
      <c r="G52" s="18" t="s">
        <v>222</v>
      </c>
      <c r="H52" s="20">
        <v>5</v>
      </c>
      <c r="I52" s="21" t="s">
        <v>40</v>
      </c>
      <c r="J52" s="181"/>
      <c r="K52" s="22">
        <v>0.1</v>
      </c>
      <c r="L52" s="22">
        <v>0.2</v>
      </c>
      <c r="M52" s="22">
        <v>0.01</v>
      </c>
      <c r="N52" s="23" t="s">
        <v>872</v>
      </c>
    </row>
    <row r="53" spans="1:14" customFormat="1" ht="25.15" customHeight="1">
      <c r="A53" s="15">
        <v>42</v>
      </c>
      <c r="B53" s="16" t="s">
        <v>28</v>
      </c>
      <c r="C53" s="17" t="s">
        <v>224</v>
      </c>
      <c r="D53" s="24" t="s">
        <v>30</v>
      </c>
      <c r="E53" s="18" t="s">
        <v>225</v>
      </c>
      <c r="F53" s="18" t="s">
        <v>226</v>
      </c>
      <c r="G53" s="18" t="s">
        <v>227</v>
      </c>
      <c r="H53" s="20">
        <v>2</v>
      </c>
      <c r="I53" s="21" t="s">
        <v>40</v>
      </c>
      <c r="J53" s="181"/>
      <c r="K53" s="22">
        <v>32</v>
      </c>
      <c r="L53" s="22">
        <v>32</v>
      </c>
      <c r="M53" s="22">
        <v>0.02</v>
      </c>
      <c r="N53" s="23" t="s">
        <v>872</v>
      </c>
    </row>
    <row r="54" spans="1:14" customFormat="1" ht="25.15" customHeight="1">
      <c r="A54" s="15">
        <v>43</v>
      </c>
      <c r="B54" s="16" t="s">
        <v>28</v>
      </c>
      <c r="C54" s="17" t="s">
        <v>229</v>
      </c>
      <c r="D54" s="24" t="s">
        <v>30</v>
      </c>
      <c r="E54" s="18" t="s">
        <v>230</v>
      </c>
      <c r="F54" s="18" t="s">
        <v>231</v>
      </c>
      <c r="G54" s="18" t="s">
        <v>232</v>
      </c>
      <c r="H54" s="20">
        <v>2</v>
      </c>
      <c r="I54" s="21" t="s">
        <v>40</v>
      </c>
      <c r="J54" s="181"/>
      <c r="K54" s="22">
        <v>4</v>
      </c>
      <c r="L54" s="22">
        <v>4</v>
      </c>
      <c r="M54" s="22">
        <v>0.01</v>
      </c>
      <c r="N54" s="23" t="s">
        <v>872</v>
      </c>
    </row>
    <row r="55" spans="1:14" customFormat="1" ht="25.15" customHeight="1">
      <c r="A55" s="15">
        <v>44</v>
      </c>
      <c r="B55" s="16" t="s">
        <v>28</v>
      </c>
      <c r="C55" s="17" t="s">
        <v>234</v>
      </c>
      <c r="D55" s="24" t="s">
        <v>30</v>
      </c>
      <c r="E55" s="18" t="s">
        <v>235</v>
      </c>
      <c r="F55" s="18" t="s">
        <v>236</v>
      </c>
      <c r="G55" s="18" t="s">
        <v>237</v>
      </c>
      <c r="H55" s="20">
        <v>4</v>
      </c>
      <c r="I55" s="21" t="s">
        <v>40</v>
      </c>
      <c r="J55" s="181"/>
      <c r="K55" s="22">
        <v>2</v>
      </c>
      <c r="L55" s="22">
        <v>2</v>
      </c>
      <c r="M55" s="22">
        <v>0.01</v>
      </c>
      <c r="N55" s="23" t="s">
        <v>872</v>
      </c>
    </row>
    <row r="56" spans="1:14" customFormat="1" ht="25.15" customHeight="1">
      <c r="A56" s="15">
        <v>45</v>
      </c>
      <c r="B56" s="16" t="s">
        <v>28</v>
      </c>
      <c r="C56" s="17" t="s">
        <v>239</v>
      </c>
      <c r="D56" s="24" t="s">
        <v>30</v>
      </c>
      <c r="E56" s="18" t="s">
        <v>240</v>
      </c>
      <c r="F56" s="18" t="s">
        <v>241</v>
      </c>
      <c r="G56" s="18" t="s">
        <v>242</v>
      </c>
      <c r="H56" s="20">
        <v>4</v>
      </c>
      <c r="I56" s="21" t="s">
        <v>40</v>
      </c>
      <c r="J56" s="181"/>
      <c r="K56" s="22">
        <v>2</v>
      </c>
      <c r="L56" s="22">
        <v>2</v>
      </c>
      <c r="M56" s="22">
        <v>0.01</v>
      </c>
      <c r="N56" s="23" t="s">
        <v>872</v>
      </c>
    </row>
    <row r="57" spans="1:14" customFormat="1" ht="25.15" customHeight="1">
      <c r="A57" s="15">
        <v>46</v>
      </c>
      <c r="B57" s="16" t="s">
        <v>28</v>
      </c>
      <c r="C57" s="17" t="s">
        <v>244</v>
      </c>
      <c r="D57" s="24" t="s">
        <v>30</v>
      </c>
      <c r="E57" s="18" t="s">
        <v>245</v>
      </c>
      <c r="F57" s="18" t="s">
        <v>246</v>
      </c>
      <c r="G57" s="18" t="s">
        <v>247</v>
      </c>
      <c r="H57" s="20">
        <v>2</v>
      </c>
      <c r="I57" s="21" t="s">
        <v>40</v>
      </c>
      <c r="J57" s="182"/>
      <c r="K57" s="22">
        <v>2</v>
      </c>
      <c r="L57" s="22">
        <v>2</v>
      </c>
      <c r="M57" s="22">
        <v>0.01</v>
      </c>
      <c r="N57" s="23" t="s">
        <v>872</v>
      </c>
    </row>
    <row r="58" spans="1:14" customFormat="1" ht="25.15" customHeight="1">
      <c r="A58" s="15">
        <v>47</v>
      </c>
      <c r="B58" s="16" t="s">
        <v>28</v>
      </c>
      <c r="C58" s="17" t="s">
        <v>249</v>
      </c>
      <c r="D58" s="24" t="s">
        <v>30</v>
      </c>
      <c r="E58" s="18" t="s">
        <v>250</v>
      </c>
      <c r="F58" s="18" t="s">
        <v>251</v>
      </c>
      <c r="G58" s="18" t="s">
        <v>252</v>
      </c>
      <c r="H58" s="20">
        <v>12</v>
      </c>
      <c r="I58" s="21" t="s">
        <v>40</v>
      </c>
      <c r="J58" s="20">
        <v>1</v>
      </c>
      <c r="K58" s="22">
        <v>42</v>
      </c>
      <c r="L58" s="22">
        <v>42</v>
      </c>
      <c r="M58" s="22">
        <v>0.01</v>
      </c>
      <c r="N58" s="23" t="s">
        <v>873</v>
      </c>
    </row>
    <row r="59" spans="1:14" customFormat="1" ht="25.15" customHeight="1">
      <c r="A59" s="15">
        <v>48</v>
      </c>
      <c r="B59" s="16" t="s">
        <v>28</v>
      </c>
      <c r="C59" s="17" t="s">
        <v>254</v>
      </c>
      <c r="D59" s="24" t="s">
        <v>30</v>
      </c>
      <c r="E59" s="18" t="s">
        <v>255</v>
      </c>
      <c r="F59" s="18">
        <v>4529001112</v>
      </c>
      <c r="G59" s="18" t="s">
        <v>256</v>
      </c>
      <c r="H59" s="20">
        <v>6</v>
      </c>
      <c r="I59" s="21" t="s">
        <v>40</v>
      </c>
      <c r="J59" s="180">
        <v>1</v>
      </c>
      <c r="K59" s="22">
        <v>15</v>
      </c>
      <c r="L59" s="22">
        <v>15</v>
      </c>
      <c r="M59" s="22">
        <v>0.02</v>
      </c>
      <c r="N59" s="23" t="s">
        <v>872</v>
      </c>
    </row>
    <row r="60" spans="1:14" customFormat="1" ht="25.15" customHeight="1">
      <c r="A60" s="15">
        <v>49</v>
      </c>
      <c r="B60" s="16" t="s">
        <v>28</v>
      </c>
      <c r="C60" s="17" t="s">
        <v>258</v>
      </c>
      <c r="D60" s="24" t="s">
        <v>43</v>
      </c>
      <c r="E60" s="18" t="s">
        <v>259</v>
      </c>
      <c r="F60" s="18" t="s">
        <v>260</v>
      </c>
      <c r="G60" s="18" t="s">
        <v>261</v>
      </c>
      <c r="H60" s="20">
        <v>4</v>
      </c>
      <c r="I60" s="21" t="s">
        <v>40</v>
      </c>
      <c r="J60" s="181"/>
      <c r="K60" s="22">
        <v>6</v>
      </c>
      <c r="L60" s="22">
        <v>6</v>
      </c>
      <c r="M60" s="22">
        <v>0.01</v>
      </c>
      <c r="N60" s="23" t="s">
        <v>872</v>
      </c>
    </row>
    <row r="61" spans="1:14" customFormat="1" ht="25.15" customHeight="1">
      <c r="A61" s="15">
        <v>50</v>
      </c>
      <c r="B61" s="16" t="s">
        <v>28</v>
      </c>
      <c r="C61" s="17" t="s">
        <v>263</v>
      </c>
      <c r="D61" s="24" t="s">
        <v>30</v>
      </c>
      <c r="E61" s="18" t="s">
        <v>264</v>
      </c>
      <c r="F61" s="18" t="s">
        <v>265</v>
      </c>
      <c r="G61" s="18" t="s">
        <v>266</v>
      </c>
      <c r="H61" s="20">
        <v>20</v>
      </c>
      <c r="I61" s="21" t="s">
        <v>40</v>
      </c>
      <c r="J61" s="181"/>
      <c r="K61" s="22">
        <v>1</v>
      </c>
      <c r="L61" s="22">
        <v>1</v>
      </c>
      <c r="M61" s="22">
        <v>0.01</v>
      </c>
      <c r="N61" s="23" t="s">
        <v>872</v>
      </c>
    </row>
    <row r="62" spans="1:14" customFormat="1" ht="25.15" customHeight="1">
      <c r="A62" s="15">
        <v>51</v>
      </c>
      <c r="B62" s="16" t="s">
        <v>28</v>
      </c>
      <c r="C62" s="17" t="s">
        <v>268</v>
      </c>
      <c r="D62" s="24" t="s">
        <v>30</v>
      </c>
      <c r="E62" s="18" t="s">
        <v>269</v>
      </c>
      <c r="F62" s="18" t="s">
        <v>270</v>
      </c>
      <c r="G62" s="18" t="s">
        <v>271</v>
      </c>
      <c r="H62" s="20">
        <v>4</v>
      </c>
      <c r="I62" s="21" t="s">
        <v>40</v>
      </c>
      <c r="J62" s="181"/>
      <c r="K62" s="22">
        <v>12</v>
      </c>
      <c r="L62" s="22">
        <v>12</v>
      </c>
      <c r="M62" s="22">
        <v>0.02</v>
      </c>
      <c r="N62" s="23" t="s">
        <v>872</v>
      </c>
    </row>
    <row r="63" spans="1:14" customFormat="1" ht="25.15" customHeight="1">
      <c r="A63" s="15">
        <v>52</v>
      </c>
      <c r="B63" s="16" t="s">
        <v>28</v>
      </c>
      <c r="C63" s="17" t="s">
        <v>273</v>
      </c>
      <c r="D63" s="24" t="s">
        <v>30</v>
      </c>
      <c r="E63" s="18" t="s">
        <v>274</v>
      </c>
      <c r="F63" s="18" t="s">
        <v>275</v>
      </c>
      <c r="G63" s="18" t="s">
        <v>276</v>
      </c>
      <c r="H63" s="20">
        <v>4</v>
      </c>
      <c r="I63" s="21" t="s">
        <v>40</v>
      </c>
      <c r="J63" s="182"/>
      <c r="K63" s="22">
        <v>10</v>
      </c>
      <c r="L63" s="22">
        <v>10</v>
      </c>
      <c r="M63" s="22">
        <v>0.02</v>
      </c>
      <c r="N63" s="23" t="s">
        <v>872</v>
      </c>
    </row>
    <row r="64" spans="1:14" customFormat="1" ht="25.15" customHeight="1">
      <c r="A64" s="15">
        <v>53</v>
      </c>
      <c r="B64" s="16" t="s">
        <v>28</v>
      </c>
      <c r="C64" s="17" t="s">
        <v>278</v>
      </c>
      <c r="D64" s="24" t="s">
        <v>279</v>
      </c>
      <c r="E64" s="18" t="s">
        <v>280</v>
      </c>
      <c r="F64" s="18" t="s">
        <v>281</v>
      </c>
      <c r="G64" s="18" t="s">
        <v>282</v>
      </c>
      <c r="H64" s="20">
        <v>5</v>
      </c>
      <c r="I64" s="21" t="s">
        <v>40</v>
      </c>
      <c r="J64" s="20">
        <v>1</v>
      </c>
      <c r="K64" s="22">
        <v>158</v>
      </c>
      <c r="L64" s="22">
        <v>158</v>
      </c>
      <c r="M64" s="22">
        <v>1.5</v>
      </c>
      <c r="N64" s="23" t="s">
        <v>876</v>
      </c>
    </row>
    <row r="65" spans="1:14" customFormat="1" ht="25.15" customHeight="1">
      <c r="A65" s="15">
        <v>54</v>
      </c>
      <c r="B65" s="16" t="s">
        <v>28</v>
      </c>
      <c r="C65" s="17" t="s">
        <v>284</v>
      </c>
      <c r="D65" s="24" t="s">
        <v>43</v>
      </c>
      <c r="E65" s="18" t="s">
        <v>285</v>
      </c>
      <c r="F65" s="18" t="s">
        <v>286</v>
      </c>
      <c r="G65" s="18" t="s">
        <v>287</v>
      </c>
      <c r="H65" s="20">
        <v>5</v>
      </c>
      <c r="I65" s="21" t="s">
        <v>40</v>
      </c>
      <c r="J65" s="180">
        <v>1</v>
      </c>
      <c r="K65" s="22">
        <v>10</v>
      </c>
      <c r="L65" s="22">
        <v>1</v>
      </c>
      <c r="M65" s="22">
        <v>0.02</v>
      </c>
      <c r="N65" s="23" t="s">
        <v>872</v>
      </c>
    </row>
    <row r="66" spans="1:14" customFormat="1" ht="25.15" customHeight="1">
      <c r="A66" s="15">
        <v>55</v>
      </c>
      <c r="B66" s="16" t="s">
        <v>28</v>
      </c>
      <c r="C66" s="17" t="s">
        <v>289</v>
      </c>
      <c r="D66" s="24" t="s">
        <v>30</v>
      </c>
      <c r="E66" s="18" t="s">
        <v>290</v>
      </c>
      <c r="F66" s="18">
        <v>452909508</v>
      </c>
      <c r="G66" s="18" t="s">
        <v>291</v>
      </c>
      <c r="H66" s="20">
        <v>4</v>
      </c>
      <c r="I66" s="21" t="s">
        <v>40</v>
      </c>
      <c r="J66" s="181"/>
      <c r="K66" s="22">
        <v>12</v>
      </c>
      <c r="L66" s="22">
        <v>12</v>
      </c>
      <c r="M66" s="22">
        <v>0.01</v>
      </c>
      <c r="N66" s="23" t="s">
        <v>872</v>
      </c>
    </row>
    <row r="67" spans="1:14" customFormat="1" ht="25.15" customHeight="1">
      <c r="A67" s="15">
        <v>56</v>
      </c>
      <c r="B67" s="16" t="s">
        <v>28</v>
      </c>
      <c r="C67" s="17" t="s">
        <v>293</v>
      </c>
      <c r="D67" s="24" t="s">
        <v>30</v>
      </c>
      <c r="E67" s="18" t="s">
        <v>294</v>
      </c>
      <c r="F67" s="18" t="s">
        <v>295</v>
      </c>
      <c r="G67" s="18" t="s">
        <v>296</v>
      </c>
      <c r="H67" s="20">
        <v>4</v>
      </c>
      <c r="I67" s="21" t="s">
        <v>40</v>
      </c>
      <c r="J67" s="181"/>
      <c r="K67" s="22">
        <v>6</v>
      </c>
      <c r="L67" s="22">
        <v>6</v>
      </c>
      <c r="M67" s="22">
        <v>0.01</v>
      </c>
      <c r="N67" s="23" t="s">
        <v>872</v>
      </c>
    </row>
    <row r="68" spans="1:14" customFormat="1" ht="25.15" customHeight="1">
      <c r="A68" s="15">
        <v>57</v>
      </c>
      <c r="B68" s="16" t="s">
        <v>28</v>
      </c>
      <c r="C68" s="17" t="s">
        <v>298</v>
      </c>
      <c r="D68" s="24" t="s">
        <v>30</v>
      </c>
      <c r="E68" s="18" t="s">
        <v>299</v>
      </c>
      <c r="F68" s="18" t="s">
        <v>300</v>
      </c>
      <c r="G68" s="18" t="s">
        <v>301</v>
      </c>
      <c r="H68" s="20">
        <v>16</v>
      </c>
      <c r="I68" s="21" t="s">
        <v>40</v>
      </c>
      <c r="J68" s="181"/>
      <c r="K68" s="22">
        <v>0.2</v>
      </c>
      <c r="L68" s="22">
        <v>0.3</v>
      </c>
      <c r="M68" s="22">
        <v>0.01</v>
      </c>
      <c r="N68" s="23" t="s">
        <v>872</v>
      </c>
    </row>
    <row r="69" spans="1:14" customFormat="1" ht="25.15" customHeight="1">
      <c r="A69" s="15">
        <v>58</v>
      </c>
      <c r="B69" s="16" t="s">
        <v>28</v>
      </c>
      <c r="C69" s="17" t="s">
        <v>303</v>
      </c>
      <c r="D69" s="24" t="s">
        <v>30</v>
      </c>
      <c r="E69" s="18" t="s">
        <v>304</v>
      </c>
      <c r="F69" s="18" t="s">
        <v>305</v>
      </c>
      <c r="G69" s="18" t="s">
        <v>306</v>
      </c>
      <c r="H69" s="20">
        <v>4</v>
      </c>
      <c r="I69" s="21" t="s">
        <v>40</v>
      </c>
      <c r="J69" s="181"/>
      <c r="K69" s="22">
        <v>1</v>
      </c>
      <c r="L69" s="22">
        <v>1</v>
      </c>
      <c r="M69" s="22">
        <v>0.01</v>
      </c>
      <c r="N69" s="23" t="s">
        <v>872</v>
      </c>
    </row>
    <row r="70" spans="1:14" customFormat="1" ht="25.15" customHeight="1">
      <c r="A70" s="15">
        <v>59</v>
      </c>
      <c r="B70" s="16" t="s">
        <v>28</v>
      </c>
      <c r="C70" s="17" t="s">
        <v>308</v>
      </c>
      <c r="D70" s="24" t="s">
        <v>30</v>
      </c>
      <c r="E70" s="18" t="s">
        <v>309</v>
      </c>
      <c r="F70" s="18">
        <v>452909507</v>
      </c>
      <c r="G70" s="18" t="s">
        <v>310</v>
      </c>
      <c r="H70" s="20">
        <v>4</v>
      </c>
      <c r="I70" s="21" t="s">
        <v>40</v>
      </c>
      <c r="J70" s="181"/>
      <c r="K70" s="22">
        <v>14</v>
      </c>
      <c r="L70" s="22">
        <v>14</v>
      </c>
      <c r="M70" s="22">
        <v>0.01</v>
      </c>
      <c r="N70" s="23" t="s">
        <v>872</v>
      </c>
    </row>
    <row r="71" spans="1:14" customFormat="1" ht="25.15" customHeight="1">
      <c r="A71" s="15">
        <v>60</v>
      </c>
      <c r="B71" s="16" t="s">
        <v>28</v>
      </c>
      <c r="C71" s="17" t="s">
        <v>303</v>
      </c>
      <c r="D71" s="24" t="s">
        <v>30</v>
      </c>
      <c r="E71" s="18" t="s">
        <v>312</v>
      </c>
      <c r="F71" s="18" t="s">
        <v>313</v>
      </c>
      <c r="G71" s="18" t="s">
        <v>314</v>
      </c>
      <c r="H71" s="20">
        <v>6</v>
      </c>
      <c r="I71" s="21" t="s">
        <v>40</v>
      </c>
      <c r="J71" s="182"/>
      <c r="K71" s="22">
        <v>1</v>
      </c>
      <c r="L71" s="22">
        <v>1.5</v>
      </c>
      <c r="M71" s="22">
        <v>0.01</v>
      </c>
      <c r="N71" s="23" t="s">
        <v>872</v>
      </c>
    </row>
    <row r="72" spans="1:14" customFormat="1" ht="25.15" customHeight="1">
      <c r="A72" s="15">
        <v>61</v>
      </c>
      <c r="B72" s="16" t="s">
        <v>28</v>
      </c>
      <c r="C72" s="17" t="s">
        <v>316</v>
      </c>
      <c r="D72" s="24" t="s">
        <v>30</v>
      </c>
      <c r="E72" s="18" t="s">
        <v>317</v>
      </c>
      <c r="F72" s="18" t="s">
        <v>318</v>
      </c>
      <c r="G72" s="18" t="s">
        <v>319</v>
      </c>
      <c r="H72" s="20">
        <v>10</v>
      </c>
      <c r="I72" s="21" t="s">
        <v>40</v>
      </c>
      <c r="J72" s="20">
        <v>1</v>
      </c>
      <c r="K72" s="22">
        <v>0.4</v>
      </c>
      <c r="L72" s="22">
        <v>0.5</v>
      </c>
      <c r="M72" s="22">
        <v>0.01</v>
      </c>
      <c r="N72" s="23" t="s">
        <v>873</v>
      </c>
    </row>
    <row r="73" spans="1:14" customFormat="1" ht="25.15" customHeight="1">
      <c r="A73" s="15">
        <v>62</v>
      </c>
      <c r="B73" s="16" t="s">
        <v>28</v>
      </c>
      <c r="C73" s="17" t="s">
        <v>321</v>
      </c>
      <c r="D73" s="24" t="s">
        <v>30</v>
      </c>
      <c r="E73" s="18" t="s">
        <v>322</v>
      </c>
      <c r="F73" s="18" t="s">
        <v>323</v>
      </c>
      <c r="G73" s="18" t="s">
        <v>324</v>
      </c>
      <c r="H73" s="20">
        <v>5</v>
      </c>
      <c r="I73" s="21" t="s">
        <v>40</v>
      </c>
      <c r="J73" s="20">
        <v>1</v>
      </c>
      <c r="K73" s="22">
        <v>3</v>
      </c>
      <c r="L73" s="22">
        <v>3</v>
      </c>
      <c r="M73" s="22">
        <v>0.01</v>
      </c>
      <c r="N73" s="23" t="s">
        <v>872</v>
      </c>
    </row>
    <row r="74" spans="1:14" customFormat="1" ht="25.15" customHeight="1">
      <c r="A74" s="15">
        <v>63</v>
      </c>
      <c r="B74" s="16" t="s">
        <v>28</v>
      </c>
      <c r="C74" s="17" t="s">
        <v>326</v>
      </c>
      <c r="D74" s="24" t="s">
        <v>30</v>
      </c>
      <c r="E74" s="18" t="s">
        <v>327</v>
      </c>
      <c r="F74" s="18" t="s">
        <v>328</v>
      </c>
      <c r="G74" s="18" t="s">
        <v>329</v>
      </c>
      <c r="H74" s="20">
        <v>1</v>
      </c>
      <c r="I74" s="21" t="s">
        <v>34</v>
      </c>
      <c r="J74" s="20">
        <v>1</v>
      </c>
      <c r="K74" s="22">
        <v>0.1</v>
      </c>
      <c r="L74" s="22">
        <v>0.2</v>
      </c>
      <c r="M74" s="22">
        <v>0.01</v>
      </c>
      <c r="N74" s="23" t="s">
        <v>873</v>
      </c>
    </row>
    <row r="75" spans="1:14" customFormat="1" ht="25.15" customHeight="1">
      <c r="A75" s="15">
        <v>64</v>
      </c>
      <c r="B75" s="16" t="s">
        <v>28</v>
      </c>
      <c r="C75" s="17" t="s">
        <v>331</v>
      </c>
      <c r="D75" s="24" t="s">
        <v>30</v>
      </c>
      <c r="E75" s="18" t="s">
        <v>332</v>
      </c>
      <c r="F75" s="18" t="s">
        <v>333</v>
      </c>
      <c r="G75" s="18" t="s">
        <v>334</v>
      </c>
      <c r="H75" s="20">
        <v>2</v>
      </c>
      <c r="I75" s="21" t="s">
        <v>40</v>
      </c>
      <c r="J75" s="20">
        <v>1</v>
      </c>
      <c r="K75" s="22">
        <v>0.1</v>
      </c>
      <c r="L75" s="22">
        <v>0.2</v>
      </c>
      <c r="M75" s="22">
        <v>0.01</v>
      </c>
      <c r="N75" s="23" t="s">
        <v>873</v>
      </c>
    </row>
    <row r="76" spans="1:14" customFormat="1" ht="25.15" customHeight="1">
      <c r="A76" s="15">
        <v>65</v>
      </c>
      <c r="B76" s="16" t="s">
        <v>28</v>
      </c>
      <c r="C76" s="17" t="s">
        <v>336</v>
      </c>
      <c r="D76" s="24" t="s">
        <v>30</v>
      </c>
      <c r="E76" s="18" t="s">
        <v>337</v>
      </c>
      <c r="F76" s="18" t="s">
        <v>338</v>
      </c>
      <c r="G76" s="18" t="s">
        <v>339</v>
      </c>
      <c r="H76" s="20">
        <v>2</v>
      </c>
      <c r="I76" s="21" t="s">
        <v>40</v>
      </c>
      <c r="J76" s="20">
        <v>1</v>
      </c>
      <c r="K76" s="22">
        <v>0.1</v>
      </c>
      <c r="L76" s="22">
        <v>0.2</v>
      </c>
      <c r="M76" s="22">
        <v>0.01</v>
      </c>
      <c r="N76" s="23" t="s">
        <v>873</v>
      </c>
    </row>
    <row r="77" spans="1:14" customFormat="1" ht="25.15" customHeight="1">
      <c r="A77" s="15">
        <v>66</v>
      </c>
      <c r="B77" s="16" t="s">
        <v>28</v>
      </c>
      <c r="C77" s="17" t="s">
        <v>341</v>
      </c>
      <c r="D77" s="24" t="s">
        <v>30</v>
      </c>
      <c r="E77" s="18" t="s">
        <v>342</v>
      </c>
      <c r="F77" s="18" t="s">
        <v>343</v>
      </c>
      <c r="G77" s="18" t="s">
        <v>344</v>
      </c>
      <c r="H77" s="20">
        <v>1</v>
      </c>
      <c r="I77" s="21" t="s">
        <v>34</v>
      </c>
      <c r="J77" s="20">
        <v>1</v>
      </c>
      <c r="K77" s="22">
        <v>0.1</v>
      </c>
      <c r="L77" s="22">
        <v>0.2</v>
      </c>
      <c r="M77" s="22">
        <v>0.01</v>
      </c>
      <c r="N77" s="23" t="s">
        <v>873</v>
      </c>
    </row>
    <row r="78" spans="1:14" customFormat="1" ht="25.15" customHeight="1">
      <c r="A78" s="15">
        <v>67</v>
      </c>
      <c r="B78" s="16" t="s">
        <v>28</v>
      </c>
      <c r="C78" s="17" t="s">
        <v>346</v>
      </c>
      <c r="D78" s="24" t="s">
        <v>30</v>
      </c>
      <c r="E78" s="18" t="s">
        <v>347</v>
      </c>
      <c r="F78" s="18" t="s">
        <v>348</v>
      </c>
      <c r="G78" s="18" t="s">
        <v>349</v>
      </c>
      <c r="H78" s="20">
        <v>5</v>
      </c>
      <c r="I78" s="21" t="s">
        <v>40</v>
      </c>
      <c r="J78" s="20">
        <v>1</v>
      </c>
      <c r="K78" s="22">
        <v>0.1</v>
      </c>
      <c r="L78" s="22">
        <v>0.2</v>
      </c>
      <c r="M78" s="22">
        <v>0.01</v>
      </c>
      <c r="N78" s="23" t="s">
        <v>873</v>
      </c>
    </row>
    <row r="79" spans="1:14" customFormat="1" ht="25.15" customHeight="1">
      <c r="A79" s="15">
        <v>68</v>
      </c>
      <c r="B79" s="16" t="s">
        <v>28</v>
      </c>
      <c r="C79" s="17" t="s">
        <v>351</v>
      </c>
      <c r="D79" s="24" t="s">
        <v>30</v>
      </c>
      <c r="E79" s="18" t="s">
        <v>352</v>
      </c>
      <c r="F79" s="18" t="s">
        <v>353</v>
      </c>
      <c r="G79" s="18" t="s">
        <v>354</v>
      </c>
      <c r="H79" s="20">
        <v>5</v>
      </c>
      <c r="I79" s="21" t="s">
        <v>40</v>
      </c>
      <c r="J79" s="20">
        <v>1</v>
      </c>
      <c r="K79" s="22">
        <v>0.1</v>
      </c>
      <c r="L79" s="22">
        <v>0.2</v>
      </c>
      <c r="M79" s="22">
        <v>0.01</v>
      </c>
      <c r="N79" s="23" t="s">
        <v>873</v>
      </c>
    </row>
    <row r="80" spans="1:14" customFormat="1" ht="25.15" customHeight="1">
      <c r="A80" s="15">
        <v>69</v>
      </c>
      <c r="B80" s="16" t="s">
        <v>28</v>
      </c>
      <c r="C80" s="17" t="s">
        <v>356</v>
      </c>
      <c r="D80" s="24" t="s">
        <v>30</v>
      </c>
      <c r="E80" s="18" t="s">
        <v>357</v>
      </c>
      <c r="F80" s="18" t="s">
        <v>358</v>
      </c>
      <c r="G80" s="18" t="s">
        <v>359</v>
      </c>
      <c r="H80" s="20">
        <v>5</v>
      </c>
      <c r="I80" s="21" t="s">
        <v>40</v>
      </c>
      <c r="J80" s="20">
        <v>1</v>
      </c>
      <c r="K80" s="22">
        <v>0.1</v>
      </c>
      <c r="L80" s="22">
        <v>0.2</v>
      </c>
      <c r="M80" s="22">
        <v>0.01</v>
      </c>
      <c r="N80" s="23" t="s">
        <v>873</v>
      </c>
    </row>
    <row r="81" spans="1:14" customFormat="1" ht="25.15" customHeight="1">
      <c r="A81" s="15">
        <v>70</v>
      </c>
      <c r="B81" s="16" t="s">
        <v>28</v>
      </c>
      <c r="C81" s="17" t="s">
        <v>361</v>
      </c>
      <c r="D81" s="24" t="s">
        <v>30</v>
      </c>
      <c r="E81" s="18" t="s">
        <v>362</v>
      </c>
      <c r="F81" s="18" t="s">
        <v>363</v>
      </c>
      <c r="G81" s="18" t="s">
        <v>364</v>
      </c>
      <c r="H81" s="20">
        <v>5</v>
      </c>
      <c r="I81" s="21" t="s">
        <v>40</v>
      </c>
      <c r="J81" s="20">
        <v>1</v>
      </c>
      <c r="K81" s="22">
        <v>0.1</v>
      </c>
      <c r="L81" s="22">
        <v>0.2</v>
      </c>
      <c r="M81" s="22">
        <v>0.01</v>
      </c>
      <c r="N81" s="23" t="s">
        <v>873</v>
      </c>
    </row>
    <row r="82" spans="1:14" customFormat="1" ht="25.15" customHeight="1">
      <c r="A82" s="15">
        <v>71</v>
      </c>
      <c r="B82" s="16" t="s">
        <v>28</v>
      </c>
      <c r="C82" s="17" t="s">
        <v>366</v>
      </c>
      <c r="D82" s="24" t="s">
        <v>30</v>
      </c>
      <c r="E82" s="18" t="s">
        <v>367</v>
      </c>
      <c r="F82" s="18" t="s">
        <v>368</v>
      </c>
      <c r="G82" s="18" t="s">
        <v>369</v>
      </c>
      <c r="H82" s="20">
        <v>5</v>
      </c>
      <c r="I82" s="21" t="s">
        <v>40</v>
      </c>
      <c r="J82" s="20">
        <v>1</v>
      </c>
      <c r="K82" s="22">
        <v>1.5</v>
      </c>
      <c r="L82" s="22">
        <v>1.5</v>
      </c>
      <c r="M82" s="22">
        <v>0.01</v>
      </c>
      <c r="N82" s="23" t="s">
        <v>873</v>
      </c>
    </row>
    <row r="83" spans="1:14" customFormat="1" ht="25.15" customHeight="1">
      <c r="A83" s="15">
        <v>72</v>
      </c>
      <c r="B83" s="16" t="s">
        <v>28</v>
      </c>
      <c r="C83" s="17" t="s">
        <v>371</v>
      </c>
      <c r="D83" s="24" t="s">
        <v>30</v>
      </c>
      <c r="E83" s="18" t="s">
        <v>372</v>
      </c>
      <c r="F83" s="18" t="s">
        <v>373</v>
      </c>
      <c r="G83" s="18" t="s">
        <v>374</v>
      </c>
      <c r="H83" s="20">
        <v>2</v>
      </c>
      <c r="I83" s="21" t="s">
        <v>40</v>
      </c>
      <c r="J83" s="20">
        <v>1</v>
      </c>
      <c r="K83" s="22">
        <v>0.1</v>
      </c>
      <c r="L83" s="22">
        <v>0.2</v>
      </c>
      <c r="M83" s="22">
        <v>0.01</v>
      </c>
      <c r="N83" s="23" t="s">
        <v>873</v>
      </c>
    </row>
    <row r="84" spans="1:14" customFormat="1" ht="25.15" customHeight="1">
      <c r="A84" s="15">
        <v>73</v>
      </c>
      <c r="B84" s="16" t="s">
        <v>28</v>
      </c>
      <c r="C84" s="17" t="s">
        <v>376</v>
      </c>
      <c r="D84" s="24" t="s">
        <v>30</v>
      </c>
      <c r="E84" s="18" t="s">
        <v>377</v>
      </c>
      <c r="F84" s="18" t="s">
        <v>378</v>
      </c>
      <c r="G84" s="18" t="s">
        <v>379</v>
      </c>
      <c r="H84" s="20">
        <v>2</v>
      </c>
      <c r="I84" s="21" t="s">
        <v>40</v>
      </c>
      <c r="J84" s="20">
        <v>1</v>
      </c>
      <c r="K84" s="22">
        <v>0.1</v>
      </c>
      <c r="L84" s="22">
        <v>0.2</v>
      </c>
      <c r="M84" s="22">
        <v>0.01</v>
      </c>
      <c r="N84" s="23" t="s">
        <v>873</v>
      </c>
    </row>
    <row r="85" spans="1:14" customFormat="1" ht="25.15" customHeight="1">
      <c r="A85" s="15">
        <v>74</v>
      </c>
      <c r="B85" s="16" t="s">
        <v>28</v>
      </c>
      <c r="C85" s="17" t="s">
        <v>381</v>
      </c>
      <c r="D85" s="24" t="s">
        <v>30</v>
      </c>
      <c r="E85" s="18" t="s">
        <v>382</v>
      </c>
      <c r="F85" s="18" t="s">
        <v>383</v>
      </c>
      <c r="G85" s="18" t="s">
        <v>384</v>
      </c>
      <c r="H85" s="20">
        <v>1</v>
      </c>
      <c r="I85" s="21" t="s">
        <v>34</v>
      </c>
      <c r="J85" s="20">
        <v>1</v>
      </c>
      <c r="K85" s="22">
        <v>0.2</v>
      </c>
      <c r="L85" s="22">
        <v>0.3</v>
      </c>
      <c r="M85" s="22">
        <v>0.01</v>
      </c>
      <c r="N85" s="23" t="s">
        <v>873</v>
      </c>
    </row>
    <row r="86" spans="1:14" customFormat="1" ht="25.15" customHeight="1">
      <c r="A86" s="15">
        <v>75</v>
      </c>
      <c r="B86" s="16" t="s">
        <v>28</v>
      </c>
      <c r="C86" s="17" t="s">
        <v>386</v>
      </c>
      <c r="D86" s="24" t="s">
        <v>30</v>
      </c>
      <c r="E86" s="18" t="s">
        <v>387</v>
      </c>
      <c r="F86" s="18" t="s">
        <v>388</v>
      </c>
      <c r="G86" s="18" t="s">
        <v>389</v>
      </c>
      <c r="H86" s="20">
        <v>2</v>
      </c>
      <c r="I86" s="21" t="s">
        <v>40</v>
      </c>
      <c r="J86" s="20">
        <v>1</v>
      </c>
      <c r="K86" s="22">
        <v>0.4</v>
      </c>
      <c r="L86" s="22">
        <v>0.5</v>
      </c>
      <c r="M86" s="22">
        <v>0.01</v>
      </c>
      <c r="N86" s="23" t="s">
        <v>873</v>
      </c>
    </row>
    <row r="87" spans="1:14" customFormat="1" ht="25.15" customHeight="1">
      <c r="A87" s="15">
        <v>76</v>
      </c>
      <c r="B87" s="16" t="s">
        <v>28</v>
      </c>
      <c r="C87" s="17" t="s">
        <v>391</v>
      </c>
      <c r="D87" s="24" t="s">
        <v>30</v>
      </c>
      <c r="E87" s="18" t="s">
        <v>392</v>
      </c>
      <c r="F87" s="18" t="s">
        <v>393</v>
      </c>
      <c r="G87" s="18" t="s">
        <v>394</v>
      </c>
      <c r="H87" s="20">
        <v>1</v>
      </c>
      <c r="I87" s="21" t="s">
        <v>34</v>
      </c>
      <c r="J87" s="20">
        <v>1</v>
      </c>
      <c r="K87" s="22">
        <v>0.1</v>
      </c>
      <c r="L87" s="22">
        <v>0.2</v>
      </c>
      <c r="M87" s="22">
        <v>0.01</v>
      </c>
      <c r="N87" s="23" t="s">
        <v>873</v>
      </c>
    </row>
    <row r="88" spans="1:14" customFormat="1" ht="25.15" customHeight="1">
      <c r="A88" s="15">
        <v>77</v>
      </c>
      <c r="B88" s="16" t="s">
        <v>28</v>
      </c>
      <c r="C88" s="17" t="s">
        <v>396</v>
      </c>
      <c r="D88" s="24" t="s">
        <v>30</v>
      </c>
      <c r="E88" s="18" t="s">
        <v>397</v>
      </c>
      <c r="F88" s="18" t="s">
        <v>398</v>
      </c>
      <c r="G88" s="18" t="s">
        <v>399</v>
      </c>
      <c r="H88" s="20">
        <v>1</v>
      </c>
      <c r="I88" s="21" t="s">
        <v>34</v>
      </c>
      <c r="J88" s="20">
        <v>1</v>
      </c>
      <c r="K88" s="22">
        <v>0.4</v>
      </c>
      <c r="L88" s="22">
        <v>0.5</v>
      </c>
      <c r="M88" s="22">
        <v>0.01</v>
      </c>
      <c r="N88" s="23" t="s">
        <v>873</v>
      </c>
    </row>
    <row r="89" spans="1:14" customFormat="1" ht="25.15" customHeight="1">
      <c r="A89" s="15">
        <v>78</v>
      </c>
      <c r="B89" s="16" t="s">
        <v>28</v>
      </c>
      <c r="C89" s="17" t="s">
        <v>401</v>
      </c>
      <c r="D89" s="24" t="s">
        <v>30</v>
      </c>
      <c r="E89" s="18" t="s">
        <v>402</v>
      </c>
      <c r="F89" s="18" t="s">
        <v>403</v>
      </c>
      <c r="G89" s="18" t="s">
        <v>404</v>
      </c>
      <c r="H89" s="20">
        <v>1</v>
      </c>
      <c r="I89" s="21" t="s">
        <v>34</v>
      </c>
      <c r="J89" s="20">
        <v>1</v>
      </c>
      <c r="K89" s="22">
        <v>0.1</v>
      </c>
      <c r="L89" s="22">
        <v>0.2</v>
      </c>
      <c r="M89" s="22">
        <v>0.01</v>
      </c>
      <c r="N89" s="23" t="s">
        <v>873</v>
      </c>
    </row>
    <row r="90" spans="1:14" customFormat="1" ht="25.15" customHeight="1">
      <c r="A90" s="15">
        <v>79</v>
      </c>
      <c r="B90" s="16" t="s">
        <v>28</v>
      </c>
      <c r="C90" s="17" t="s">
        <v>406</v>
      </c>
      <c r="D90" s="24" t="s">
        <v>30</v>
      </c>
      <c r="E90" s="18" t="s">
        <v>407</v>
      </c>
      <c r="F90" s="18" t="s">
        <v>408</v>
      </c>
      <c r="G90" s="18" t="s">
        <v>409</v>
      </c>
      <c r="H90" s="20">
        <v>1</v>
      </c>
      <c r="I90" s="21" t="s">
        <v>34</v>
      </c>
      <c r="J90" s="20">
        <v>1</v>
      </c>
      <c r="K90" s="22">
        <v>0.2</v>
      </c>
      <c r="L90" s="22">
        <v>0.3</v>
      </c>
      <c r="M90" s="22">
        <v>0.01</v>
      </c>
      <c r="N90" s="23" t="s">
        <v>873</v>
      </c>
    </row>
    <row r="91" spans="1:14" customFormat="1" ht="25.15" customHeight="1">
      <c r="A91" s="15">
        <v>80</v>
      </c>
      <c r="B91" s="16" t="s">
        <v>28</v>
      </c>
      <c r="C91" s="17" t="s">
        <v>411</v>
      </c>
      <c r="D91" s="24" t="s">
        <v>30</v>
      </c>
      <c r="E91" s="18" t="s">
        <v>412</v>
      </c>
      <c r="F91" s="18" t="s">
        <v>413</v>
      </c>
      <c r="G91" s="18" t="s">
        <v>414</v>
      </c>
      <c r="H91" s="20">
        <v>1</v>
      </c>
      <c r="I91" s="21" t="s">
        <v>34</v>
      </c>
      <c r="J91" s="20">
        <v>1</v>
      </c>
      <c r="K91" s="22">
        <v>0.1</v>
      </c>
      <c r="L91" s="22">
        <v>0.2</v>
      </c>
      <c r="M91" s="22">
        <v>0.01</v>
      </c>
      <c r="N91" s="23" t="s">
        <v>873</v>
      </c>
    </row>
    <row r="92" spans="1:14" customFormat="1" ht="25.15" customHeight="1">
      <c r="A92" s="15">
        <v>81</v>
      </c>
      <c r="B92" s="16" t="s">
        <v>28</v>
      </c>
      <c r="C92" s="17" t="s">
        <v>416</v>
      </c>
      <c r="D92" s="24" t="s">
        <v>30</v>
      </c>
      <c r="E92" s="18" t="s">
        <v>417</v>
      </c>
      <c r="F92" s="18">
        <v>452107249</v>
      </c>
      <c r="G92" s="18" t="s">
        <v>418</v>
      </c>
      <c r="H92" s="20">
        <v>3</v>
      </c>
      <c r="I92" s="21" t="s">
        <v>40</v>
      </c>
      <c r="J92" s="20">
        <v>1</v>
      </c>
      <c r="K92" s="22">
        <v>5.5</v>
      </c>
      <c r="L92" s="22">
        <v>6</v>
      </c>
      <c r="M92" s="22">
        <v>0.03</v>
      </c>
      <c r="N92" s="23" t="s">
        <v>877</v>
      </c>
    </row>
    <row r="93" spans="1:14" customFormat="1" ht="25.15" customHeight="1">
      <c r="A93" s="15">
        <v>82</v>
      </c>
      <c r="B93" s="16" t="s">
        <v>28</v>
      </c>
      <c r="C93" s="17" t="s">
        <v>420</v>
      </c>
      <c r="D93" s="24" t="s">
        <v>30</v>
      </c>
      <c r="E93" s="18" t="s">
        <v>421</v>
      </c>
      <c r="F93" s="18">
        <v>452107272</v>
      </c>
      <c r="G93" s="18" t="s">
        <v>422</v>
      </c>
      <c r="H93" s="20">
        <v>2</v>
      </c>
      <c r="I93" s="21" t="s">
        <v>40</v>
      </c>
      <c r="J93" s="20">
        <v>1</v>
      </c>
      <c r="K93" s="22">
        <v>20</v>
      </c>
      <c r="L93" s="22">
        <v>20</v>
      </c>
      <c r="M93" s="22">
        <v>0.04</v>
      </c>
      <c r="N93" s="23" t="s">
        <v>872</v>
      </c>
    </row>
    <row r="94" spans="1:14" customFormat="1" ht="25.15" customHeight="1">
      <c r="A94" s="15">
        <v>83</v>
      </c>
      <c r="B94" s="16" t="s">
        <v>28</v>
      </c>
      <c r="C94" s="17" t="s">
        <v>424</v>
      </c>
      <c r="D94" s="24" t="s">
        <v>30</v>
      </c>
      <c r="E94" s="18" t="s">
        <v>425</v>
      </c>
      <c r="F94" s="18" t="s">
        <v>426</v>
      </c>
      <c r="G94" s="18" t="s">
        <v>427</v>
      </c>
      <c r="H94" s="20">
        <v>2</v>
      </c>
      <c r="I94" s="21" t="s">
        <v>40</v>
      </c>
      <c r="J94" s="20">
        <v>1</v>
      </c>
      <c r="K94" s="22">
        <v>2</v>
      </c>
      <c r="L94" s="22">
        <v>2</v>
      </c>
      <c r="M94" s="22">
        <v>0.01</v>
      </c>
      <c r="N94" s="23" t="s">
        <v>872</v>
      </c>
    </row>
    <row r="95" spans="1:14" customFormat="1" ht="25.15" customHeight="1">
      <c r="A95" s="15">
        <v>84</v>
      </c>
      <c r="B95" s="16" t="s">
        <v>28</v>
      </c>
      <c r="C95" s="17" t="s">
        <v>429</v>
      </c>
      <c r="D95" s="24" t="s">
        <v>43</v>
      </c>
      <c r="E95" s="18" t="s">
        <v>425</v>
      </c>
      <c r="F95" s="18" t="s">
        <v>430</v>
      </c>
      <c r="G95" s="18" t="s">
        <v>431</v>
      </c>
      <c r="H95" s="20">
        <v>2</v>
      </c>
      <c r="I95" s="21" t="s">
        <v>40</v>
      </c>
      <c r="J95" s="20">
        <v>1</v>
      </c>
      <c r="K95" s="22">
        <v>0.5</v>
      </c>
      <c r="L95" s="22">
        <v>0.5</v>
      </c>
      <c r="M95" s="22">
        <v>0.01</v>
      </c>
      <c r="N95" s="23" t="s">
        <v>872</v>
      </c>
    </row>
    <row r="96" spans="1:14" customFormat="1" ht="25.15" customHeight="1">
      <c r="A96" s="15">
        <v>85</v>
      </c>
      <c r="B96" s="16" t="s">
        <v>28</v>
      </c>
      <c r="C96" s="17" t="s">
        <v>433</v>
      </c>
      <c r="D96" s="24" t="s">
        <v>43</v>
      </c>
      <c r="E96" s="18" t="s">
        <v>434</v>
      </c>
      <c r="F96" s="18" t="s">
        <v>435</v>
      </c>
      <c r="G96" s="18" t="s">
        <v>436</v>
      </c>
      <c r="H96" s="20">
        <v>2</v>
      </c>
      <c r="I96" s="21" t="s">
        <v>40</v>
      </c>
      <c r="J96" s="20">
        <v>1</v>
      </c>
      <c r="K96" s="22">
        <v>0.5</v>
      </c>
      <c r="L96" s="22">
        <v>0.5</v>
      </c>
      <c r="M96" s="22">
        <v>0.01</v>
      </c>
      <c r="N96" s="23" t="s">
        <v>872</v>
      </c>
    </row>
    <row r="97" spans="1:14" customFormat="1" ht="25.15" customHeight="1">
      <c r="A97" s="15">
        <v>86</v>
      </c>
      <c r="B97" s="16" t="s">
        <v>28</v>
      </c>
      <c r="C97" s="17" t="s">
        <v>438</v>
      </c>
      <c r="D97" s="24" t="s">
        <v>43</v>
      </c>
      <c r="E97" s="18" t="s">
        <v>439</v>
      </c>
      <c r="F97" s="18" t="s">
        <v>440</v>
      </c>
      <c r="G97" s="18" t="s">
        <v>441</v>
      </c>
      <c r="H97" s="20">
        <v>2</v>
      </c>
      <c r="I97" s="21" t="s">
        <v>40</v>
      </c>
      <c r="J97" s="20">
        <v>1</v>
      </c>
      <c r="K97" s="22">
        <v>0.5</v>
      </c>
      <c r="L97" s="22">
        <v>0.5</v>
      </c>
      <c r="M97" s="22">
        <v>0.01</v>
      </c>
      <c r="N97" s="23" t="s">
        <v>872</v>
      </c>
    </row>
    <row r="98" spans="1:14" customFormat="1" ht="25.15" customHeight="1">
      <c r="A98" s="15">
        <v>87</v>
      </c>
      <c r="B98" s="16" t="s">
        <v>28</v>
      </c>
      <c r="C98" s="17" t="s">
        <v>443</v>
      </c>
      <c r="D98" s="24" t="s">
        <v>30</v>
      </c>
      <c r="E98" s="18" t="s">
        <v>444</v>
      </c>
      <c r="F98" s="18" t="s">
        <v>445</v>
      </c>
      <c r="G98" s="18" t="s">
        <v>446</v>
      </c>
      <c r="H98" s="20">
        <v>3</v>
      </c>
      <c r="I98" s="21" t="s">
        <v>40</v>
      </c>
      <c r="J98" s="20">
        <v>1</v>
      </c>
      <c r="K98" s="22">
        <v>2</v>
      </c>
      <c r="L98" s="22">
        <v>2</v>
      </c>
      <c r="M98" s="22">
        <v>0.01</v>
      </c>
      <c r="N98" s="23" t="s">
        <v>872</v>
      </c>
    </row>
    <row r="99" spans="1:14" customFormat="1" ht="25.15" customHeight="1">
      <c r="A99" s="15">
        <v>88</v>
      </c>
      <c r="B99" s="16" t="s">
        <v>28</v>
      </c>
      <c r="C99" s="17" t="s">
        <v>448</v>
      </c>
      <c r="D99" s="24" t="s">
        <v>30</v>
      </c>
      <c r="E99" s="18" t="s">
        <v>449</v>
      </c>
      <c r="F99" s="18" t="s">
        <v>450</v>
      </c>
      <c r="G99" s="18" t="s">
        <v>451</v>
      </c>
      <c r="H99" s="20">
        <v>2</v>
      </c>
      <c r="I99" s="21" t="s">
        <v>40</v>
      </c>
      <c r="J99" s="20">
        <v>1</v>
      </c>
      <c r="K99" s="22">
        <v>0.5</v>
      </c>
      <c r="L99" s="22">
        <v>0.5</v>
      </c>
      <c r="M99" s="22">
        <v>0.01</v>
      </c>
      <c r="N99" s="23" t="s">
        <v>872</v>
      </c>
    </row>
    <row r="100" spans="1:14" customFormat="1" ht="25.15" customHeight="1">
      <c r="A100" s="15">
        <v>89</v>
      </c>
      <c r="B100" s="16" t="s">
        <v>28</v>
      </c>
      <c r="C100" s="17" t="s">
        <v>453</v>
      </c>
      <c r="D100" s="24" t="s">
        <v>43</v>
      </c>
      <c r="E100" s="18" t="s">
        <v>454</v>
      </c>
      <c r="F100" s="18" t="s">
        <v>455</v>
      </c>
      <c r="G100" s="18" t="s">
        <v>456</v>
      </c>
      <c r="H100" s="20">
        <v>2</v>
      </c>
      <c r="I100" s="21" t="s">
        <v>40</v>
      </c>
      <c r="J100" s="20">
        <v>1</v>
      </c>
      <c r="K100" s="22">
        <v>0.5</v>
      </c>
      <c r="L100" s="22">
        <v>0.5</v>
      </c>
      <c r="M100" s="22">
        <v>0.01</v>
      </c>
      <c r="N100" s="23" t="s">
        <v>872</v>
      </c>
    </row>
    <row r="101" spans="1:14" customFormat="1" ht="25.15" customHeight="1">
      <c r="A101" s="15">
        <v>90</v>
      </c>
      <c r="B101" s="16" t="s">
        <v>28</v>
      </c>
      <c r="C101" s="17" t="s">
        <v>458</v>
      </c>
      <c r="D101" s="24" t="s">
        <v>30</v>
      </c>
      <c r="E101" s="18" t="s">
        <v>459</v>
      </c>
      <c r="F101" s="18" t="s">
        <v>460</v>
      </c>
      <c r="G101" s="18" t="s">
        <v>461</v>
      </c>
      <c r="H101" s="20">
        <v>2</v>
      </c>
      <c r="I101" s="21" t="s">
        <v>40</v>
      </c>
      <c r="J101" s="20">
        <v>1</v>
      </c>
      <c r="K101" s="22">
        <v>0.1</v>
      </c>
      <c r="L101" s="22">
        <v>0.2</v>
      </c>
      <c r="M101" s="22">
        <v>0.01</v>
      </c>
      <c r="N101" s="23" t="s">
        <v>872</v>
      </c>
    </row>
    <row r="102" spans="1:14" customFormat="1" ht="25.15" customHeight="1">
      <c r="A102" s="15">
        <v>91</v>
      </c>
      <c r="B102" s="16" t="s">
        <v>28</v>
      </c>
      <c r="C102" s="17" t="s">
        <v>463</v>
      </c>
      <c r="D102" s="24" t="s">
        <v>30</v>
      </c>
      <c r="E102" s="18" t="s">
        <v>464</v>
      </c>
      <c r="F102" s="18" t="s">
        <v>465</v>
      </c>
      <c r="G102" s="18" t="s">
        <v>466</v>
      </c>
      <c r="H102" s="20">
        <v>3</v>
      </c>
      <c r="I102" s="21" t="s">
        <v>40</v>
      </c>
      <c r="J102" s="20">
        <v>1</v>
      </c>
      <c r="K102" s="22">
        <v>0.1</v>
      </c>
      <c r="L102" s="22">
        <v>0.2</v>
      </c>
      <c r="M102" s="22">
        <v>0.01</v>
      </c>
      <c r="N102" s="23" t="s">
        <v>872</v>
      </c>
    </row>
    <row r="103" spans="1:14" customFormat="1" ht="25.15" customHeight="1">
      <c r="A103" s="15">
        <v>92</v>
      </c>
      <c r="B103" s="16" t="s">
        <v>28</v>
      </c>
      <c r="C103" s="17" t="s">
        <v>468</v>
      </c>
      <c r="D103" s="24" t="s">
        <v>30</v>
      </c>
      <c r="E103" s="18" t="s">
        <v>469</v>
      </c>
      <c r="F103" s="18" t="s">
        <v>470</v>
      </c>
      <c r="G103" s="18" t="s">
        <v>471</v>
      </c>
      <c r="H103" s="20">
        <v>3</v>
      </c>
      <c r="I103" s="21" t="s">
        <v>40</v>
      </c>
      <c r="J103" s="20">
        <v>1</v>
      </c>
      <c r="K103" s="22">
        <v>0.2</v>
      </c>
      <c r="L103" s="22">
        <v>0.3</v>
      </c>
      <c r="M103" s="22">
        <v>0.01</v>
      </c>
      <c r="N103" s="23" t="s">
        <v>872</v>
      </c>
    </row>
    <row r="104" spans="1:14" customFormat="1" ht="25.15" customHeight="1">
      <c r="A104" s="15">
        <v>93</v>
      </c>
      <c r="B104" s="16" t="s">
        <v>28</v>
      </c>
      <c r="C104" s="17" t="s">
        <v>473</v>
      </c>
      <c r="D104" s="24" t="s">
        <v>30</v>
      </c>
      <c r="E104" s="18" t="s">
        <v>474</v>
      </c>
      <c r="F104" s="18" t="s">
        <v>475</v>
      </c>
      <c r="G104" s="18" t="s">
        <v>476</v>
      </c>
      <c r="H104" s="20">
        <v>2</v>
      </c>
      <c r="I104" s="21" t="s">
        <v>40</v>
      </c>
      <c r="J104" s="20">
        <v>1</v>
      </c>
      <c r="K104" s="22">
        <v>1</v>
      </c>
      <c r="L104" s="22">
        <v>1</v>
      </c>
      <c r="M104" s="22">
        <v>0.01</v>
      </c>
      <c r="N104" s="23" t="s">
        <v>872</v>
      </c>
    </row>
    <row r="105" spans="1:14" customFormat="1" ht="25.15" customHeight="1">
      <c r="A105" s="15">
        <v>94</v>
      </c>
      <c r="B105" s="16" t="s">
        <v>28</v>
      </c>
      <c r="C105" s="17" t="s">
        <v>478</v>
      </c>
      <c r="D105" s="24" t="s">
        <v>30</v>
      </c>
      <c r="E105" s="18" t="s">
        <v>479</v>
      </c>
      <c r="F105" s="18" t="s">
        <v>480</v>
      </c>
      <c r="G105" s="18" t="s">
        <v>481</v>
      </c>
      <c r="H105" s="20">
        <v>2</v>
      </c>
      <c r="I105" s="21" t="s">
        <v>40</v>
      </c>
      <c r="J105" s="20">
        <v>1</v>
      </c>
      <c r="K105" s="22">
        <v>0.1</v>
      </c>
      <c r="L105" s="22">
        <v>0.2</v>
      </c>
      <c r="M105" s="22">
        <v>0.01</v>
      </c>
      <c r="N105" s="23" t="s">
        <v>872</v>
      </c>
    </row>
    <row r="106" spans="1:14" customFormat="1" ht="25.15" customHeight="1">
      <c r="A106" s="15">
        <v>95</v>
      </c>
      <c r="B106" s="16" t="s">
        <v>28</v>
      </c>
      <c r="C106" s="17" t="s">
        <v>483</v>
      </c>
      <c r="D106" s="24" t="s">
        <v>43</v>
      </c>
      <c r="E106" s="18" t="s">
        <v>484</v>
      </c>
      <c r="F106" s="18" t="s">
        <v>485</v>
      </c>
      <c r="G106" s="18" t="s">
        <v>486</v>
      </c>
      <c r="H106" s="20">
        <v>2</v>
      </c>
      <c r="I106" s="21" t="s">
        <v>40</v>
      </c>
      <c r="J106" s="20">
        <v>1</v>
      </c>
      <c r="K106" s="22">
        <v>2</v>
      </c>
      <c r="L106" s="22">
        <v>2</v>
      </c>
      <c r="M106" s="22">
        <v>0.01</v>
      </c>
      <c r="N106" s="23" t="s">
        <v>872</v>
      </c>
    </row>
    <row r="107" spans="1:14" customFormat="1" ht="25.15" customHeight="1">
      <c r="A107" s="15">
        <v>96</v>
      </c>
      <c r="B107" s="16" t="s">
        <v>28</v>
      </c>
      <c r="C107" s="17" t="s">
        <v>488</v>
      </c>
      <c r="D107" s="24" t="s">
        <v>30</v>
      </c>
      <c r="E107" s="18" t="s">
        <v>489</v>
      </c>
      <c r="F107" s="18" t="s">
        <v>490</v>
      </c>
      <c r="G107" s="18" t="s">
        <v>491</v>
      </c>
      <c r="H107" s="20">
        <v>2</v>
      </c>
      <c r="I107" s="21" t="s">
        <v>40</v>
      </c>
      <c r="J107" s="20">
        <v>1</v>
      </c>
      <c r="K107" s="22">
        <v>2</v>
      </c>
      <c r="L107" s="22">
        <v>2</v>
      </c>
      <c r="M107" s="22">
        <v>0.01</v>
      </c>
      <c r="N107" s="23" t="s">
        <v>872</v>
      </c>
    </row>
    <row r="108" spans="1:14" customFormat="1" ht="25.15" customHeight="1">
      <c r="A108" s="15">
        <v>97</v>
      </c>
      <c r="B108" s="16" t="s">
        <v>28</v>
      </c>
      <c r="C108" s="17" t="s">
        <v>493</v>
      </c>
      <c r="D108" s="24" t="s">
        <v>30</v>
      </c>
      <c r="E108" s="18" t="s">
        <v>494</v>
      </c>
      <c r="F108" s="18" t="s">
        <v>495</v>
      </c>
      <c r="G108" s="18" t="s">
        <v>496</v>
      </c>
      <c r="H108" s="20">
        <v>2</v>
      </c>
      <c r="I108" s="21" t="s">
        <v>40</v>
      </c>
      <c r="J108" s="20">
        <v>1</v>
      </c>
      <c r="K108" s="22">
        <v>2</v>
      </c>
      <c r="L108" s="22">
        <v>2</v>
      </c>
      <c r="M108" s="22">
        <v>0.01</v>
      </c>
      <c r="N108" s="23" t="s">
        <v>872</v>
      </c>
    </row>
    <row r="109" spans="1:14" customFormat="1" ht="25.15" customHeight="1">
      <c r="A109" s="15">
        <v>98</v>
      </c>
      <c r="B109" s="16" t="s">
        <v>28</v>
      </c>
      <c r="C109" s="17" t="s">
        <v>498</v>
      </c>
      <c r="D109" s="24" t="s">
        <v>30</v>
      </c>
      <c r="E109" s="18" t="s">
        <v>499</v>
      </c>
      <c r="F109" s="18" t="s">
        <v>500</v>
      </c>
      <c r="G109" s="18" t="s">
        <v>501</v>
      </c>
      <c r="H109" s="20">
        <v>2</v>
      </c>
      <c r="I109" s="21" t="s">
        <v>40</v>
      </c>
      <c r="J109" s="20">
        <v>1</v>
      </c>
      <c r="K109" s="22">
        <v>4</v>
      </c>
      <c r="L109" s="22">
        <v>4</v>
      </c>
      <c r="M109" s="22">
        <v>0.01</v>
      </c>
      <c r="N109" s="23" t="s">
        <v>872</v>
      </c>
    </row>
    <row r="110" spans="1:14" customFormat="1" ht="25.15" customHeight="1">
      <c r="A110" s="15">
        <v>99</v>
      </c>
      <c r="B110" s="16" t="s">
        <v>28</v>
      </c>
      <c r="C110" s="17" t="s">
        <v>503</v>
      </c>
      <c r="D110" s="24" t="s">
        <v>30</v>
      </c>
      <c r="E110" s="18" t="s">
        <v>504</v>
      </c>
      <c r="F110" s="18" t="s">
        <v>505</v>
      </c>
      <c r="G110" s="18" t="s">
        <v>506</v>
      </c>
      <c r="H110" s="20">
        <v>2</v>
      </c>
      <c r="I110" s="21" t="s">
        <v>40</v>
      </c>
      <c r="J110" s="20">
        <v>1</v>
      </c>
      <c r="K110" s="22">
        <v>4</v>
      </c>
      <c r="L110" s="22">
        <v>4</v>
      </c>
      <c r="M110" s="22">
        <v>0.01</v>
      </c>
      <c r="N110" s="23" t="s">
        <v>873</v>
      </c>
    </row>
    <row r="111" spans="1:14" customFormat="1" ht="25.15" customHeight="1">
      <c r="A111" s="15">
        <v>100</v>
      </c>
      <c r="B111" s="16" t="s">
        <v>28</v>
      </c>
      <c r="C111" s="17" t="s">
        <v>508</v>
      </c>
      <c r="D111" s="24" t="s">
        <v>30</v>
      </c>
      <c r="E111" s="18" t="s">
        <v>509</v>
      </c>
      <c r="F111" s="18" t="s">
        <v>510</v>
      </c>
      <c r="G111" s="18" t="s">
        <v>511</v>
      </c>
      <c r="H111" s="20">
        <v>2</v>
      </c>
      <c r="I111" s="21" t="s">
        <v>40</v>
      </c>
      <c r="J111" s="20">
        <v>1</v>
      </c>
      <c r="K111" s="22">
        <v>1</v>
      </c>
      <c r="L111" s="22">
        <v>1</v>
      </c>
      <c r="M111" s="22">
        <v>0.01</v>
      </c>
      <c r="N111" s="23" t="s">
        <v>872</v>
      </c>
    </row>
    <row r="112" spans="1:14" customFormat="1" ht="25.15" customHeight="1">
      <c r="A112" s="15">
        <v>101</v>
      </c>
      <c r="B112" s="16" t="s">
        <v>28</v>
      </c>
      <c r="C112" s="17" t="s">
        <v>513</v>
      </c>
      <c r="D112" s="24" t="s">
        <v>30</v>
      </c>
      <c r="E112" s="18" t="s">
        <v>514</v>
      </c>
      <c r="F112" s="18" t="s">
        <v>515</v>
      </c>
      <c r="G112" s="18" t="s">
        <v>516</v>
      </c>
      <c r="H112" s="20">
        <v>2</v>
      </c>
      <c r="I112" s="21" t="s">
        <v>40</v>
      </c>
      <c r="J112" s="20">
        <v>1</v>
      </c>
      <c r="K112" s="22">
        <v>4</v>
      </c>
      <c r="L112" s="22">
        <v>4</v>
      </c>
      <c r="M112" s="22">
        <v>0.01</v>
      </c>
      <c r="N112" s="23" t="s">
        <v>872</v>
      </c>
    </row>
    <row r="113" spans="1:14" customFormat="1" ht="25.15" customHeight="1">
      <c r="A113" s="15">
        <v>102</v>
      </c>
      <c r="B113" s="16" t="s">
        <v>28</v>
      </c>
      <c r="C113" s="17" t="s">
        <v>518</v>
      </c>
      <c r="D113" s="24" t="s">
        <v>30</v>
      </c>
      <c r="E113" s="18" t="s">
        <v>519</v>
      </c>
      <c r="F113" s="18" t="s">
        <v>520</v>
      </c>
      <c r="G113" s="18" t="s">
        <v>521</v>
      </c>
      <c r="H113" s="20">
        <v>5</v>
      </c>
      <c r="I113" s="21" t="s">
        <v>40</v>
      </c>
      <c r="J113" s="20">
        <v>1</v>
      </c>
      <c r="K113" s="22">
        <v>1</v>
      </c>
      <c r="L113" s="22">
        <v>1</v>
      </c>
      <c r="M113" s="22">
        <v>0.01</v>
      </c>
      <c r="N113" s="23" t="s">
        <v>872</v>
      </c>
    </row>
    <row r="114" spans="1:14" customFormat="1" ht="25.15" customHeight="1">
      <c r="A114" s="15">
        <v>103</v>
      </c>
      <c r="B114" s="16" t="s">
        <v>28</v>
      </c>
      <c r="C114" s="17" t="s">
        <v>523</v>
      </c>
      <c r="D114" s="24" t="s">
        <v>30</v>
      </c>
      <c r="E114" s="18" t="s">
        <v>524</v>
      </c>
      <c r="F114" s="18" t="s">
        <v>525</v>
      </c>
      <c r="G114" s="18" t="s">
        <v>526</v>
      </c>
      <c r="H114" s="20">
        <v>1</v>
      </c>
      <c r="I114" s="21" t="s">
        <v>34</v>
      </c>
      <c r="J114" s="20">
        <v>1</v>
      </c>
      <c r="K114" s="22">
        <v>3</v>
      </c>
      <c r="L114" s="22">
        <v>3</v>
      </c>
      <c r="M114" s="22">
        <v>0.01</v>
      </c>
      <c r="N114" s="23" t="s">
        <v>872</v>
      </c>
    </row>
    <row r="115" spans="1:14" customFormat="1" ht="25.15" customHeight="1">
      <c r="A115" s="15">
        <v>104</v>
      </c>
      <c r="B115" s="16" t="s">
        <v>28</v>
      </c>
      <c r="C115" s="17" t="s">
        <v>528</v>
      </c>
      <c r="D115" s="24" t="s">
        <v>30</v>
      </c>
      <c r="E115" s="18" t="s">
        <v>529</v>
      </c>
      <c r="F115" s="18" t="s">
        <v>530</v>
      </c>
      <c r="G115" s="18" t="s">
        <v>531</v>
      </c>
      <c r="H115" s="20">
        <v>1</v>
      </c>
      <c r="I115" s="21" t="s">
        <v>34</v>
      </c>
      <c r="J115" s="20">
        <v>1</v>
      </c>
      <c r="K115" s="22">
        <v>28</v>
      </c>
      <c r="L115" s="22">
        <v>28</v>
      </c>
      <c r="M115" s="22">
        <v>0.01</v>
      </c>
      <c r="N115" s="23" t="s">
        <v>878</v>
      </c>
    </row>
    <row r="116" spans="1:14" customFormat="1" ht="25.15" customHeight="1">
      <c r="A116" s="15">
        <v>105</v>
      </c>
      <c r="B116" s="16" t="s">
        <v>28</v>
      </c>
      <c r="C116" s="17" t="s">
        <v>533</v>
      </c>
      <c r="D116" s="24" t="s">
        <v>30</v>
      </c>
      <c r="E116" s="18" t="s">
        <v>534</v>
      </c>
      <c r="F116" s="18">
        <v>4534005978</v>
      </c>
      <c r="G116" s="18" t="s">
        <v>535</v>
      </c>
      <c r="H116" s="20">
        <v>1</v>
      </c>
      <c r="I116" s="21" t="s">
        <v>34</v>
      </c>
      <c r="J116" s="20">
        <v>1</v>
      </c>
      <c r="K116" s="22">
        <v>2</v>
      </c>
      <c r="L116" s="22">
        <v>2</v>
      </c>
      <c r="M116" s="22">
        <v>0.01</v>
      </c>
      <c r="N116" s="23" t="s">
        <v>872</v>
      </c>
    </row>
    <row r="117" spans="1:14" customFormat="1" ht="25.15" customHeight="1">
      <c r="A117" s="15">
        <v>106</v>
      </c>
      <c r="B117" s="16" t="s">
        <v>28</v>
      </c>
      <c r="C117" s="17" t="s">
        <v>537</v>
      </c>
      <c r="D117" s="24" t="s">
        <v>30</v>
      </c>
      <c r="E117" s="18" t="s">
        <v>538</v>
      </c>
      <c r="F117" s="18" t="s">
        <v>539</v>
      </c>
      <c r="G117" s="18" t="s">
        <v>540</v>
      </c>
      <c r="H117" s="20">
        <v>8</v>
      </c>
      <c r="I117" s="21" t="s">
        <v>40</v>
      </c>
      <c r="J117" s="20">
        <v>1</v>
      </c>
      <c r="K117" s="22">
        <v>300</v>
      </c>
      <c r="L117" s="22">
        <v>300</v>
      </c>
      <c r="M117" s="22">
        <v>1.5</v>
      </c>
      <c r="N117" s="23"/>
    </row>
    <row r="118" spans="1:14" customFormat="1" ht="25.15" customHeight="1">
      <c r="A118" s="15">
        <v>107</v>
      </c>
      <c r="B118" s="16" t="s">
        <v>28</v>
      </c>
      <c r="C118" s="17" t="s">
        <v>542</v>
      </c>
      <c r="D118" s="24" t="s">
        <v>30</v>
      </c>
      <c r="E118" s="18" t="s">
        <v>543</v>
      </c>
      <c r="F118" s="18">
        <v>4584000237</v>
      </c>
      <c r="G118" s="18" t="s">
        <v>544</v>
      </c>
      <c r="H118" s="20">
        <v>20</v>
      </c>
      <c r="I118" s="21" t="s">
        <v>40</v>
      </c>
      <c r="J118" s="20">
        <v>1</v>
      </c>
      <c r="K118" s="22">
        <v>70</v>
      </c>
      <c r="L118" s="22">
        <v>70</v>
      </c>
      <c r="M118" s="22">
        <v>0.06</v>
      </c>
      <c r="N118" s="23" t="s">
        <v>879</v>
      </c>
    </row>
    <row r="119" spans="1:14" customFormat="1" ht="25.15" customHeight="1">
      <c r="A119" s="15">
        <v>108</v>
      </c>
      <c r="B119" s="16" t="s">
        <v>28</v>
      </c>
      <c r="C119" s="17" t="s">
        <v>546</v>
      </c>
      <c r="D119" s="24" t="s">
        <v>30</v>
      </c>
      <c r="E119" s="18" t="s">
        <v>547</v>
      </c>
      <c r="F119" s="18">
        <v>4584000238</v>
      </c>
      <c r="G119" s="18" t="s">
        <v>548</v>
      </c>
      <c r="H119" s="20">
        <v>20</v>
      </c>
      <c r="I119" s="21" t="s">
        <v>40</v>
      </c>
      <c r="J119" s="20">
        <v>1</v>
      </c>
      <c r="K119" s="22">
        <v>70</v>
      </c>
      <c r="L119" s="22">
        <v>70</v>
      </c>
      <c r="M119" s="22">
        <v>0.06</v>
      </c>
      <c r="N119" s="23" t="s">
        <v>879</v>
      </c>
    </row>
    <row r="120" spans="1:14" customFormat="1" ht="25.15" customHeight="1">
      <c r="A120" s="15">
        <v>109</v>
      </c>
      <c r="B120" s="16" t="s">
        <v>28</v>
      </c>
      <c r="C120" s="17" t="s">
        <v>550</v>
      </c>
      <c r="D120" s="24" t="s">
        <v>30</v>
      </c>
      <c r="E120" s="18" t="s">
        <v>551</v>
      </c>
      <c r="F120" s="18">
        <v>4584003485</v>
      </c>
      <c r="G120" s="18" t="s">
        <v>552</v>
      </c>
      <c r="H120" s="20">
        <v>2</v>
      </c>
      <c r="I120" s="21" t="s">
        <v>40</v>
      </c>
      <c r="J120" s="20">
        <v>1</v>
      </c>
      <c r="K120" s="22">
        <v>0.5</v>
      </c>
      <c r="L120" s="22">
        <v>0.5</v>
      </c>
      <c r="M120" s="22">
        <v>0.01</v>
      </c>
      <c r="N120" s="23" t="s">
        <v>872</v>
      </c>
    </row>
    <row r="121" spans="1:14" customFormat="1" ht="25.15" customHeight="1">
      <c r="A121" s="15">
        <v>110</v>
      </c>
      <c r="B121" s="16" t="s">
        <v>28</v>
      </c>
      <c r="C121" s="17" t="s">
        <v>554</v>
      </c>
      <c r="D121" s="24" t="s">
        <v>30</v>
      </c>
      <c r="E121" s="18" t="s">
        <v>555</v>
      </c>
      <c r="F121" s="18">
        <v>4584002352</v>
      </c>
      <c r="G121" s="18" t="s">
        <v>556</v>
      </c>
      <c r="H121" s="20">
        <v>2</v>
      </c>
      <c r="I121" s="21" t="s">
        <v>40</v>
      </c>
      <c r="J121" s="20">
        <v>1</v>
      </c>
      <c r="K121" s="22">
        <v>0.5</v>
      </c>
      <c r="L121" s="22">
        <v>0.5</v>
      </c>
      <c r="M121" s="22">
        <v>0.01</v>
      </c>
      <c r="N121" s="23" t="s">
        <v>872</v>
      </c>
    </row>
    <row r="122" spans="1:14" customFormat="1" ht="25.15" customHeight="1">
      <c r="A122" s="15">
        <v>111</v>
      </c>
      <c r="B122" s="16" t="s">
        <v>28</v>
      </c>
      <c r="C122" s="17" t="s">
        <v>558</v>
      </c>
      <c r="D122" s="24" t="s">
        <v>30</v>
      </c>
      <c r="E122" s="18" t="s">
        <v>559</v>
      </c>
      <c r="F122" s="18">
        <v>4584002351</v>
      </c>
      <c r="G122" s="18" t="s">
        <v>560</v>
      </c>
      <c r="H122" s="20">
        <v>20</v>
      </c>
      <c r="I122" s="21" t="s">
        <v>40</v>
      </c>
      <c r="J122" s="20">
        <v>1</v>
      </c>
      <c r="K122" s="22">
        <v>5</v>
      </c>
      <c r="L122" s="22">
        <v>5</v>
      </c>
      <c r="M122" s="22">
        <v>0.01</v>
      </c>
      <c r="N122" s="23" t="s">
        <v>872</v>
      </c>
    </row>
    <row r="123" spans="1:14" customFormat="1" ht="25.15" customHeight="1">
      <c r="A123" s="15">
        <v>112</v>
      </c>
      <c r="B123" s="16" t="s">
        <v>28</v>
      </c>
      <c r="C123" s="17" t="s">
        <v>562</v>
      </c>
      <c r="D123" s="24" t="s">
        <v>30</v>
      </c>
      <c r="E123" s="18" t="s">
        <v>563</v>
      </c>
      <c r="F123" s="18">
        <v>4584003486</v>
      </c>
      <c r="G123" s="18" t="s">
        <v>564</v>
      </c>
      <c r="H123" s="20">
        <v>20</v>
      </c>
      <c r="I123" s="21" t="s">
        <v>40</v>
      </c>
      <c r="J123" s="20">
        <v>1</v>
      </c>
      <c r="K123" s="22">
        <v>2</v>
      </c>
      <c r="L123" s="22">
        <v>2</v>
      </c>
      <c r="M123" s="22">
        <v>0.01</v>
      </c>
      <c r="N123" s="23" t="s">
        <v>872</v>
      </c>
    </row>
    <row r="124" spans="1:14" customFormat="1" ht="25.15" customHeight="1">
      <c r="A124" s="15">
        <v>113</v>
      </c>
      <c r="B124" s="16" t="s">
        <v>28</v>
      </c>
      <c r="C124" s="17" t="s">
        <v>566</v>
      </c>
      <c r="D124" s="24" t="s">
        <v>30</v>
      </c>
      <c r="E124" s="18" t="s">
        <v>567</v>
      </c>
      <c r="F124" s="18">
        <v>4538007595</v>
      </c>
      <c r="G124" s="18" t="s">
        <v>568</v>
      </c>
      <c r="H124" s="20">
        <v>2</v>
      </c>
      <c r="I124" s="21" t="s">
        <v>40</v>
      </c>
      <c r="J124" s="20">
        <v>1</v>
      </c>
      <c r="K124" s="22">
        <v>8</v>
      </c>
      <c r="L124" s="22">
        <v>8</v>
      </c>
      <c r="M124" s="22">
        <v>0.01</v>
      </c>
      <c r="N124" s="23" t="s">
        <v>873</v>
      </c>
    </row>
    <row r="125" spans="1:14" customFormat="1" ht="25.15" customHeight="1">
      <c r="A125" s="15">
        <v>114</v>
      </c>
      <c r="B125" s="16" t="s">
        <v>28</v>
      </c>
      <c r="C125" s="17" t="s">
        <v>570</v>
      </c>
      <c r="D125" s="24" t="s">
        <v>30</v>
      </c>
      <c r="E125" s="18" t="s">
        <v>571</v>
      </c>
      <c r="F125" s="18">
        <v>4538007594</v>
      </c>
      <c r="G125" s="18" t="s">
        <v>572</v>
      </c>
      <c r="H125" s="20">
        <v>2</v>
      </c>
      <c r="I125" s="21" t="s">
        <v>40</v>
      </c>
      <c r="J125" s="20">
        <v>1</v>
      </c>
      <c r="K125" s="22">
        <v>20</v>
      </c>
      <c r="L125" s="22">
        <v>20</v>
      </c>
      <c r="M125" s="22">
        <v>0.01</v>
      </c>
      <c r="N125" s="23" t="s">
        <v>873</v>
      </c>
    </row>
    <row r="126" spans="1:14" customFormat="1" ht="25.15" customHeight="1">
      <c r="A126" s="15">
        <v>115</v>
      </c>
      <c r="B126" s="16" t="s">
        <v>28</v>
      </c>
      <c r="C126" s="17" t="s">
        <v>574</v>
      </c>
      <c r="D126" s="24" t="s">
        <v>30</v>
      </c>
      <c r="E126" s="18" t="s">
        <v>575</v>
      </c>
      <c r="F126" s="18">
        <v>4538006239</v>
      </c>
      <c r="G126" s="18" t="s">
        <v>576</v>
      </c>
      <c r="H126" s="20">
        <v>2</v>
      </c>
      <c r="I126" s="21" t="s">
        <v>40</v>
      </c>
      <c r="J126" s="20">
        <v>1</v>
      </c>
      <c r="K126" s="22">
        <v>8</v>
      </c>
      <c r="L126" s="22">
        <v>8</v>
      </c>
      <c r="M126" s="22">
        <v>0.01</v>
      </c>
      <c r="N126" s="23" t="s">
        <v>873</v>
      </c>
    </row>
    <row r="127" spans="1:14" customFormat="1" ht="25.15" customHeight="1">
      <c r="A127" s="15">
        <v>116</v>
      </c>
      <c r="B127" s="16" t="s">
        <v>28</v>
      </c>
      <c r="C127" s="17" t="s">
        <v>578</v>
      </c>
      <c r="D127" s="24" t="s">
        <v>30</v>
      </c>
      <c r="E127" s="18" t="s">
        <v>579</v>
      </c>
      <c r="F127" s="18">
        <v>4538006243</v>
      </c>
      <c r="G127" s="18" t="s">
        <v>580</v>
      </c>
      <c r="H127" s="20">
        <v>2</v>
      </c>
      <c r="I127" s="21" t="s">
        <v>40</v>
      </c>
      <c r="J127" s="20">
        <v>1</v>
      </c>
      <c r="K127" s="22">
        <v>8</v>
      </c>
      <c r="L127" s="22">
        <v>8</v>
      </c>
      <c r="M127" s="22">
        <v>0.01</v>
      </c>
      <c r="N127" s="23" t="s">
        <v>873</v>
      </c>
    </row>
    <row r="128" spans="1:14" customFormat="1" ht="25.15" customHeight="1">
      <c r="A128" s="15">
        <v>117</v>
      </c>
      <c r="B128" s="16" t="s">
        <v>28</v>
      </c>
      <c r="C128" s="17" t="s">
        <v>582</v>
      </c>
      <c r="D128" s="24" t="s">
        <v>43</v>
      </c>
      <c r="E128" s="18" t="s">
        <v>583</v>
      </c>
      <c r="F128" s="18">
        <v>4513009140</v>
      </c>
      <c r="G128" s="18" t="s">
        <v>584</v>
      </c>
      <c r="H128" s="20">
        <v>3</v>
      </c>
      <c r="I128" s="21" t="s">
        <v>40</v>
      </c>
      <c r="J128" s="20">
        <v>1</v>
      </c>
      <c r="K128" s="22">
        <v>0.4</v>
      </c>
      <c r="L128" s="22">
        <v>0.5</v>
      </c>
      <c r="M128" s="22">
        <v>0.01</v>
      </c>
      <c r="N128" s="23" t="s">
        <v>873</v>
      </c>
    </row>
    <row r="129" spans="1:14" customFormat="1" ht="25.15" customHeight="1">
      <c r="A129" s="15">
        <v>118</v>
      </c>
      <c r="B129" s="16" t="s">
        <v>28</v>
      </c>
      <c r="C129" s="17" t="s">
        <v>586</v>
      </c>
      <c r="D129" s="24" t="s">
        <v>43</v>
      </c>
      <c r="E129" s="18" t="s">
        <v>587</v>
      </c>
      <c r="F129" s="18">
        <v>4513009142</v>
      </c>
      <c r="G129" s="18" t="s">
        <v>588</v>
      </c>
      <c r="H129" s="20">
        <v>3</v>
      </c>
      <c r="I129" s="21" t="s">
        <v>40</v>
      </c>
      <c r="J129" s="20">
        <v>1</v>
      </c>
      <c r="K129" s="22">
        <v>0.4</v>
      </c>
      <c r="L129" s="22">
        <v>0.5</v>
      </c>
      <c r="M129" s="22">
        <v>0.01</v>
      </c>
      <c r="N129" s="23" t="s">
        <v>873</v>
      </c>
    </row>
    <row r="130" spans="1:14" customFormat="1" ht="25.15" customHeight="1">
      <c r="A130" s="15">
        <v>119</v>
      </c>
      <c r="B130" s="16" t="s">
        <v>28</v>
      </c>
      <c r="C130" s="17" t="s">
        <v>590</v>
      </c>
      <c r="D130" s="24" t="s">
        <v>43</v>
      </c>
      <c r="E130" s="18" t="s">
        <v>591</v>
      </c>
      <c r="F130" s="18">
        <v>4513009139</v>
      </c>
      <c r="G130" s="18" t="s">
        <v>592</v>
      </c>
      <c r="H130" s="20">
        <v>3</v>
      </c>
      <c r="I130" s="21" t="s">
        <v>40</v>
      </c>
      <c r="J130" s="20">
        <v>1</v>
      </c>
      <c r="K130" s="22">
        <v>0.5</v>
      </c>
      <c r="L130" s="22">
        <v>0.5</v>
      </c>
      <c r="M130" s="22">
        <v>0.01</v>
      </c>
      <c r="N130" s="23" t="s">
        <v>872</v>
      </c>
    </row>
    <row r="131" spans="1:14" customFormat="1" ht="25.15" customHeight="1">
      <c r="A131" s="15">
        <v>120</v>
      </c>
      <c r="B131" s="16" t="s">
        <v>28</v>
      </c>
      <c r="C131" s="17" t="s">
        <v>594</v>
      </c>
      <c r="D131" s="24" t="s">
        <v>43</v>
      </c>
      <c r="E131" s="18" t="s">
        <v>595</v>
      </c>
      <c r="F131" s="18">
        <v>4513009141</v>
      </c>
      <c r="G131" s="18" t="s">
        <v>596</v>
      </c>
      <c r="H131" s="20">
        <v>3</v>
      </c>
      <c r="I131" s="21" t="s">
        <v>40</v>
      </c>
      <c r="J131" s="20">
        <v>1</v>
      </c>
      <c r="K131" s="22">
        <v>1</v>
      </c>
      <c r="L131" s="22">
        <v>1</v>
      </c>
      <c r="M131" s="22">
        <v>0.01</v>
      </c>
      <c r="N131" s="23" t="s">
        <v>873</v>
      </c>
    </row>
    <row r="132" spans="1:14" customFormat="1" ht="25.15" customHeight="1">
      <c r="A132" s="15">
        <v>121</v>
      </c>
      <c r="B132" s="16" t="s">
        <v>28</v>
      </c>
      <c r="C132" s="17" t="s">
        <v>598</v>
      </c>
      <c r="D132" s="24" t="s">
        <v>30</v>
      </c>
      <c r="E132" s="18" t="s">
        <v>599</v>
      </c>
      <c r="F132" s="18" t="s">
        <v>600</v>
      </c>
      <c r="G132" s="18" t="s">
        <v>601</v>
      </c>
      <c r="H132" s="20">
        <v>2</v>
      </c>
      <c r="I132" s="21" t="s">
        <v>40</v>
      </c>
      <c r="J132" s="20">
        <v>1</v>
      </c>
      <c r="K132" s="22">
        <v>8</v>
      </c>
      <c r="L132" s="22">
        <v>8</v>
      </c>
      <c r="M132" s="22">
        <v>0.01</v>
      </c>
      <c r="N132" s="23" t="s">
        <v>872</v>
      </c>
    </row>
    <row r="133" spans="1:14" customFormat="1" ht="25.15" customHeight="1">
      <c r="A133" s="15">
        <v>122</v>
      </c>
      <c r="B133" s="16" t="s">
        <v>28</v>
      </c>
      <c r="C133" s="17" t="s">
        <v>603</v>
      </c>
      <c r="D133" s="24" t="s">
        <v>30</v>
      </c>
      <c r="E133" s="18" t="s">
        <v>604</v>
      </c>
      <c r="F133" s="18" t="s">
        <v>605</v>
      </c>
      <c r="G133" s="18" t="s">
        <v>606</v>
      </c>
      <c r="H133" s="20">
        <v>2</v>
      </c>
      <c r="I133" s="21" t="s">
        <v>40</v>
      </c>
      <c r="J133" s="20">
        <v>1</v>
      </c>
      <c r="K133" s="22">
        <v>8</v>
      </c>
      <c r="L133" s="22">
        <v>8</v>
      </c>
      <c r="M133" s="22">
        <v>0.01</v>
      </c>
      <c r="N133" s="23" t="s">
        <v>872</v>
      </c>
    </row>
    <row r="134" spans="1:14" customFormat="1" ht="25.15" customHeight="1">
      <c r="A134" s="15">
        <v>123</v>
      </c>
      <c r="B134" s="16" t="s">
        <v>28</v>
      </c>
      <c r="C134" s="17" t="s">
        <v>608</v>
      </c>
      <c r="D134" s="24" t="s">
        <v>30</v>
      </c>
      <c r="E134" s="18" t="s">
        <v>609</v>
      </c>
      <c r="F134" s="18" t="s">
        <v>610</v>
      </c>
      <c r="G134" s="18" t="s">
        <v>611</v>
      </c>
      <c r="H134" s="20">
        <v>2</v>
      </c>
      <c r="I134" s="21" t="s">
        <v>40</v>
      </c>
      <c r="J134" s="20">
        <v>1</v>
      </c>
      <c r="K134" s="22">
        <v>6</v>
      </c>
      <c r="L134" s="22">
        <v>6</v>
      </c>
      <c r="M134" s="22">
        <v>0.01</v>
      </c>
      <c r="N134" s="23" t="s">
        <v>872</v>
      </c>
    </row>
    <row r="135" spans="1:14" customFormat="1" ht="25.15" customHeight="1">
      <c r="A135" s="15">
        <v>124</v>
      </c>
      <c r="B135" s="16" t="s">
        <v>28</v>
      </c>
      <c r="C135" s="17" t="s">
        <v>613</v>
      </c>
      <c r="D135" s="24" t="s">
        <v>30</v>
      </c>
      <c r="E135" s="18" t="s">
        <v>614</v>
      </c>
      <c r="F135" s="18" t="s">
        <v>615</v>
      </c>
      <c r="G135" s="18" t="s">
        <v>616</v>
      </c>
      <c r="H135" s="20">
        <v>2</v>
      </c>
      <c r="I135" s="21" t="s">
        <v>40</v>
      </c>
      <c r="J135" s="20">
        <v>1</v>
      </c>
      <c r="K135" s="22">
        <v>6</v>
      </c>
      <c r="L135" s="22">
        <v>6</v>
      </c>
      <c r="M135" s="22">
        <v>0.01</v>
      </c>
      <c r="N135" s="23" t="s">
        <v>872</v>
      </c>
    </row>
    <row r="136" spans="1:14" customFormat="1" ht="25.15" customHeight="1">
      <c r="A136" s="15">
        <v>125</v>
      </c>
      <c r="B136" s="16" t="s">
        <v>28</v>
      </c>
      <c r="C136" s="17" t="s">
        <v>618</v>
      </c>
      <c r="D136" s="24" t="s">
        <v>279</v>
      </c>
      <c r="E136" s="18" t="s">
        <v>619</v>
      </c>
      <c r="F136" s="18" t="s">
        <v>620</v>
      </c>
      <c r="G136" s="18" t="s">
        <v>621</v>
      </c>
      <c r="H136" s="20">
        <v>5</v>
      </c>
      <c r="I136" s="21" t="s">
        <v>40</v>
      </c>
      <c r="J136" s="20">
        <v>1</v>
      </c>
      <c r="K136" s="22">
        <v>39</v>
      </c>
      <c r="L136" s="22">
        <v>39</v>
      </c>
      <c r="M136" s="22">
        <v>0.2</v>
      </c>
      <c r="N136" s="23" t="s">
        <v>880</v>
      </c>
    </row>
    <row r="137" spans="1:14" customFormat="1" ht="25.15" customHeight="1">
      <c r="A137" s="15">
        <v>126</v>
      </c>
      <c r="B137" s="16" t="s">
        <v>28</v>
      </c>
      <c r="C137" s="17" t="s">
        <v>623</v>
      </c>
      <c r="D137" s="24" t="s">
        <v>279</v>
      </c>
      <c r="E137" s="18" t="s">
        <v>624</v>
      </c>
      <c r="F137" s="18" t="s">
        <v>625</v>
      </c>
      <c r="G137" s="18" t="s">
        <v>626</v>
      </c>
      <c r="H137" s="20">
        <v>5</v>
      </c>
      <c r="I137" s="21" t="s">
        <v>40</v>
      </c>
      <c r="J137" s="20">
        <v>1</v>
      </c>
      <c r="K137" s="22">
        <v>39</v>
      </c>
      <c r="L137" s="22">
        <v>39</v>
      </c>
      <c r="M137" s="22">
        <v>0.2</v>
      </c>
      <c r="N137" s="23" t="s">
        <v>880</v>
      </c>
    </row>
    <row r="138" spans="1:14" customFormat="1" ht="25.15" customHeight="1">
      <c r="A138" s="15">
        <v>127</v>
      </c>
      <c r="B138" s="16" t="s">
        <v>28</v>
      </c>
      <c r="C138" s="17" t="s">
        <v>628</v>
      </c>
      <c r="D138" s="24" t="s">
        <v>30</v>
      </c>
      <c r="E138" s="18" t="s">
        <v>629</v>
      </c>
      <c r="F138" s="18" t="s">
        <v>630</v>
      </c>
      <c r="G138" s="18" t="s">
        <v>631</v>
      </c>
      <c r="H138" s="20">
        <v>1</v>
      </c>
      <c r="I138" s="21" t="s">
        <v>34</v>
      </c>
      <c r="J138" s="20">
        <v>1</v>
      </c>
      <c r="K138" s="22">
        <v>10</v>
      </c>
      <c r="L138" s="22">
        <v>10</v>
      </c>
      <c r="M138" s="22">
        <v>0.01</v>
      </c>
      <c r="N138" s="23" t="s">
        <v>873</v>
      </c>
    </row>
    <row r="139" spans="1:14" customFormat="1" ht="25.15" customHeight="1">
      <c r="A139" s="15">
        <v>128</v>
      </c>
      <c r="B139" s="16" t="s">
        <v>28</v>
      </c>
      <c r="C139" s="17" t="s">
        <v>633</v>
      </c>
      <c r="D139" s="24" t="s">
        <v>30</v>
      </c>
      <c r="E139" s="18" t="s">
        <v>634</v>
      </c>
      <c r="F139" s="18">
        <v>4581012641</v>
      </c>
      <c r="G139" s="18" t="s">
        <v>635</v>
      </c>
      <c r="H139" s="20">
        <v>3</v>
      </c>
      <c r="I139" s="21" t="s">
        <v>40</v>
      </c>
      <c r="J139" s="20">
        <v>1</v>
      </c>
      <c r="K139" s="22">
        <v>0.5</v>
      </c>
      <c r="L139" s="22">
        <v>0.5</v>
      </c>
      <c r="M139" s="22">
        <v>0.01</v>
      </c>
      <c r="N139" s="23" t="s">
        <v>872</v>
      </c>
    </row>
    <row r="140" spans="1:14" customFormat="1" ht="25.15" customHeight="1">
      <c r="A140" s="15">
        <v>129</v>
      </c>
      <c r="B140" s="16" t="s">
        <v>28</v>
      </c>
      <c r="C140" s="17" t="s">
        <v>637</v>
      </c>
      <c r="D140" s="24" t="s">
        <v>30</v>
      </c>
      <c r="E140" s="18" t="s">
        <v>638</v>
      </c>
      <c r="F140" s="18">
        <v>4581012640</v>
      </c>
      <c r="G140" s="18" t="s">
        <v>639</v>
      </c>
      <c r="H140" s="20">
        <v>3</v>
      </c>
      <c r="I140" s="21" t="s">
        <v>40</v>
      </c>
      <c r="J140" s="20">
        <v>1</v>
      </c>
      <c r="K140" s="22">
        <v>0.5</v>
      </c>
      <c r="L140" s="22">
        <v>0.5</v>
      </c>
      <c r="M140" s="22">
        <v>0.01</v>
      </c>
      <c r="N140" s="23" t="s">
        <v>872</v>
      </c>
    </row>
    <row r="141" spans="1:14" customFormat="1" ht="25.15" customHeight="1">
      <c r="A141" s="15">
        <v>130</v>
      </c>
      <c r="B141" s="16" t="s">
        <v>28</v>
      </c>
      <c r="C141" s="17" t="s">
        <v>641</v>
      </c>
      <c r="D141" s="24" t="s">
        <v>30</v>
      </c>
      <c r="E141" s="18" t="s">
        <v>642</v>
      </c>
      <c r="F141" s="18">
        <v>4581012639</v>
      </c>
      <c r="G141" s="18" t="s">
        <v>643</v>
      </c>
      <c r="H141" s="20">
        <v>3</v>
      </c>
      <c r="I141" s="21" t="s">
        <v>40</v>
      </c>
      <c r="J141" s="20">
        <v>1</v>
      </c>
      <c r="K141" s="22">
        <v>1</v>
      </c>
      <c r="L141" s="22">
        <v>1</v>
      </c>
      <c r="M141" s="22">
        <v>0.01</v>
      </c>
      <c r="N141" s="23" t="s">
        <v>872</v>
      </c>
    </row>
    <row r="142" spans="1:14" customFormat="1" ht="25.15" customHeight="1">
      <c r="A142" s="15">
        <v>131</v>
      </c>
      <c r="B142" s="16" t="s">
        <v>28</v>
      </c>
      <c r="C142" s="17" t="s">
        <v>645</v>
      </c>
      <c r="D142" s="24" t="s">
        <v>30</v>
      </c>
      <c r="E142" s="18" t="s">
        <v>646</v>
      </c>
      <c r="F142" s="18">
        <v>4581012638</v>
      </c>
      <c r="G142" s="18" t="s">
        <v>647</v>
      </c>
      <c r="H142" s="20">
        <v>3</v>
      </c>
      <c r="I142" s="21" t="s">
        <v>40</v>
      </c>
      <c r="J142" s="20">
        <v>1</v>
      </c>
      <c r="K142" s="22">
        <v>1</v>
      </c>
      <c r="L142" s="22">
        <v>1</v>
      </c>
      <c r="M142" s="22">
        <v>0.01</v>
      </c>
      <c r="N142" s="23" t="s">
        <v>872</v>
      </c>
    </row>
    <row r="143" spans="1:14" customFormat="1" ht="25.15" customHeight="1">
      <c r="A143" s="15">
        <v>132</v>
      </c>
      <c r="B143" s="16" t="s">
        <v>28</v>
      </c>
      <c r="C143" s="17" t="s">
        <v>649</v>
      </c>
      <c r="D143" s="24" t="s">
        <v>30</v>
      </c>
      <c r="E143" s="18" t="s">
        <v>650</v>
      </c>
      <c r="F143" s="18">
        <v>4581012637</v>
      </c>
      <c r="G143" s="18" t="s">
        <v>651</v>
      </c>
      <c r="H143" s="20">
        <v>3</v>
      </c>
      <c r="I143" s="21" t="s">
        <v>40</v>
      </c>
      <c r="J143" s="20">
        <v>1</v>
      </c>
      <c r="K143" s="22">
        <v>2</v>
      </c>
      <c r="L143" s="22">
        <v>2</v>
      </c>
      <c r="M143" s="22">
        <v>0.01</v>
      </c>
      <c r="N143" s="23" t="s">
        <v>872</v>
      </c>
    </row>
    <row r="144" spans="1:14" customFormat="1" ht="25.15" customHeight="1">
      <c r="A144" s="15">
        <v>133</v>
      </c>
      <c r="B144" s="16" t="s">
        <v>28</v>
      </c>
      <c r="C144" s="17" t="s">
        <v>653</v>
      </c>
      <c r="D144" s="24" t="s">
        <v>30</v>
      </c>
      <c r="E144" s="18" t="s">
        <v>654</v>
      </c>
      <c r="F144" s="18">
        <v>4581012312</v>
      </c>
      <c r="G144" s="18" t="s">
        <v>655</v>
      </c>
      <c r="H144" s="20">
        <v>2</v>
      </c>
      <c r="I144" s="21" t="s">
        <v>40</v>
      </c>
      <c r="J144" s="20">
        <v>1</v>
      </c>
      <c r="K144" s="22">
        <v>2</v>
      </c>
      <c r="L144" s="22">
        <v>2</v>
      </c>
      <c r="M144" s="22">
        <v>0.01</v>
      </c>
      <c r="N144" s="23" t="s">
        <v>881</v>
      </c>
    </row>
    <row r="145" spans="1:14" customFormat="1" ht="25.15" customHeight="1">
      <c r="A145" s="15">
        <v>134</v>
      </c>
      <c r="B145" s="16" t="s">
        <v>28</v>
      </c>
      <c r="C145" s="17" t="s">
        <v>657</v>
      </c>
      <c r="D145" s="24" t="s">
        <v>30</v>
      </c>
      <c r="E145" s="18" t="s">
        <v>658</v>
      </c>
      <c r="F145" s="18">
        <v>4581010835</v>
      </c>
      <c r="G145" s="18" t="s">
        <v>659</v>
      </c>
      <c r="H145" s="20">
        <v>1</v>
      </c>
      <c r="I145" s="21" t="s">
        <v>34</v>
      </c>
      <c r="J145" s="20">
        <v>1</v>
      </c>
      <c r="K145" s="22">
        <v>1</v>
      </c>
      <c r="L145" s="22">
        <v>1</v>
      </c>
      <c r="M145" s="22">
        <v>0.01</v>
      </c>
      <c r="N145" s="23" t="s">
        <v>872</v>
      </c>
    </row>
    <row r="146" spans="1:14" customFormat="1" ht="25.15" customHeight="1">
      <c r="A146" s="15">
        <v>135</v>
      </c>
      <c r="B146" s="16" t="s">
        <v>28</v>
      </c>
      <c r="C146" s="17" t="s">
        <v>661</v>
      </c>
      <c r="D146" s="24" t="s">
        <v>30</v>
      </c>
      <c r="E146" s="18" t="s">
        <v>662</v>
      </c>
      <c r="F146" s="18" t="s">
        <v>663</v>
      </c>
      <c r="G146" s="18" t="s">
        <v>664</v>
      </c>
      <c r="H146" s="20">
        <v>1</v>
      </c>
      <c r="I146" s="21" t="s">
        <v>34</v>
      </c>
      <c r="J146" s="20">
        <v>1</v>
      </c>
      <c r="K146" s="22">
        <v>9</v>
      </c>
      <c r="L146" s="22">
        <v>9</v>
      </c>
      <c r="M146" s="22">
        <v>0.03</v>
      </c>
      <c r="N146" s="23" t="s">
        <v>882</v>
      </c>
    </row>
    <row r="147" spans="1:14" customFormat="1" ht="25.15" customHeight="1">
      <c r="A147" s="15">
        <v>136</v>
      </c>
      <c r="B147" s="16" t="s">
        <v>28</v>
      </c>
      <c r="C147" s="17" t="s">
        <v>666</v>
      </c>
      <c r="D147" s="24" t="s">
        <v>30</v>
      </c>
      <c r="E147" s="18" t="s">
        <v>667</v>
      </c>
      <c r="F147" s="18">
        <v>4579003177</v>
      </c>
      <c r="G147" s="18" t="s">
        <v>668</v>
      </c>
      <c r="H147" s="20">
        <v>2</v>
      </c>
      <c r="I147" s="21" t="s">
        <v>40</v>
      </c>
      <c r="J147" s="20">
        <v>1</v>
      </c>
      <c r="K147" s="22">
        <v>0.5</v>
      </c>
      <c r="L147" s="22">
        <v>0.5</v>
      </c>
      <c r="M147" s="22">
        <v>0.01</v>
      </c>
      <c r="N147" s="23" t="s">
        <v>872</v>
      </c>
    </row>
    <row r="148" spans="1:14" customFormat="1" ht="25.15" customHeight="1">
      <c r="A148" s="15">
        <v>137</v>
      </c>
      <c r="B148" s="16" t="s">
        <v>28</v>
      </c>
      <c r="C148" s="17" t="s">
        <v>670</v>
      </c>
      <c r="D148" s="24" t="s">
        <v>30</v>
      </c>
      <c r="E148" s="18" t="s">
        <v>671</v>
      </c>
      <c r="F148" s="18">
        <v>4538007094</v>
      </c>
      <c r="G148" s="18" t="s">
        <v>672</v>
      </c>
      <c r="H148" s="20">
        <v>4</v>
      </c>
      <c r="I148" s="21" t="s">
        <v>40</v>
      </c>
      <c r="J148" s="20">
        <v>1</v>
      </c>
      <c r="K148" s="22">
        <v>50</v>
      </c>
      <c r="L148" s="22">
        <v>50</v>
      </c>
      <c r="M148" s="22">
        <v>0.01</v>
      </c>
      <c r="N148" s="23" t="s">
        <v>873</v>
      </c>
    </row>
    <row r="149" spans="1:14" customFormat="1" ht="25.15" customHeight="1">
      <c r="A149" s="15">
        <v>138</v>
      </c>
      <c r="B149" s="16" t="s">
        <v>28</v>
      </c>
      <c r="C149" s="17" t="s">
        <v>674</v>
      </c>
      <c r="D149" s="24" t="s">
        <v>30</v>
      </c>
      <c r="E149" s="18" t="s">
        <v>675</v>
      </c>
      <c r="F149" s="18">
        <v>4538007066</v>
      </c>
      <c r="G149" s="18" t="s">
        <v>676</v>
      </c>
      <c r="H149" s="20">
        <v>4</v>
      </c>
      <c r="I149" s="21" t="s">
        <v>40</v>
      </c>
      <c r="J149" s="20">
        <v>1</v>
      </c>
      <c r="K149" s="22">
        <v>40</v>
      </c>
      <c r="L149" s="22">
        <v>40</v>
      </c>
      <c r="M149" s="22">
        <v>0.01</v>
      </c>
      <c r="N149" s="23" t="s">
        <v>873</v>
      </c>
    </row>
    <row r="150" spans="1:14" customFormat="1" ht="25.15" customHeight="1">
      <c r="A150" s="15">
        <v>139</v>
      </c>
      <c r="B150" s="16" t="s">
        <v>28</v>
      </c>
      <c r="C150" s="17" t="s">
        <v>578</v>
      </c>
      <c r="D150" s="24" t="s">
        <v>30</v>
      </c>
      <c r="E150" s="18" t="s">
        <v>579</v>
      </c>
      <c r="F150" s="18">
        <v>4538007065</v>
      </c>
      <c r="G150" s="18" t="s">
        <v>678</v>
      </c>
      <c r="H150" s="20">
        <v>4</v>
      </c>
      <c r="I150" s="21" t="s">
        <v>40</v>
      </c>
      <c r="J150" s="180">
        <v>1</v>
      </c>
      <c r="K150" s="22">
        <v>8</v>
      </c>
      <c r="L150" s="22">
        <v>8</v>
      </c>
      <c r="M150" s="22">
        <v>0.01</v>
      </c>
      <c r="N150" s="23" t="s">
        <v>873</v>
      </c>
    </row>
    <row r="151" spans="1:14" customFormat="1" ht="25.15" customHeight="1">
      <c r="A151" s="15">
        <v>140</v>
      </c>
      <c r="B151" s="16" t="s">
        <v>28</v>
      </c>
      <c r="C151" s="17" t="s">
        <v>680</v>
      </c>
      <c r="D151" s="24" t="s">
        <v>30</v>
      </c>
      <c r="E151" s="18" t="s">
        <v>681</v>
      </c>
      <c r="F151" s="18">
        <v>4538007064</v>
      </c>
      <c r="G151" s="18" t="s">
        <v>682</v>
      </c>
      <c r="H151" s="20">
        <v>2</v>
      </c>
      <c r="I151" s="21" t="s">
        <v>40</v>
      </c>
      <c r="J151" s="182"/>
      <c r="K151" s="22">
        <v>3</v>
      </c>
      <c r="L151" s="22">
        <v>3</v>
      </c>
      <c r="M151" s="22">
        <v>0.01</v>
      </c>
      <c r="N151" s="23" t="s">
        <v>873</v>
      </c>
    </row>
    <row r="152" spans="1:14" customFormat="1" ht="25.15" customHeight="1">
      <c r="A152" s="15">
        <v>141</v>
      </c>
      <c r="B152" s="16" t="s">
        <v>28</v>
      </c>
      <c r="C152" s="17" t="s">
        <v>684</v>
      </c>
      <c r="D152" s="24" t="s">
        <v>30</v>
      </c>
      <c r="E152" s="18" t="s">
        <v>685</v>
      </c>
      <c r="F152" s="18">
        <v>4538006885</v>
      </c>
      <c r="G152" s="18" t="s">
        <v>686</v>
      </c>
      <c r="H152" s="20">
        <v>2</v>
      </c>
      <c r="I152" s="21" t="s">
        <v>40</v>
      </c>
      <c r="J152" s="20">
        <v>1</v>
      </c>
      <c r="K152" s="22">
        <v>2</v>
      </c>
      <c r="L152" s="22">
        <v>2</v>
      </c>
      <c r="M152" s="22">
        <v>0.06</v>
      </c>
      <c r="N152" s="23" t="s">
        <v>883</v>
      </c>
    </row>
    <row r="153" spans="1:14" customFormat="1" ht="25.15" customHeight="1">
      <c r="A153" s="15">
        <v>142</v>
      </c>
      <c r="B153" s="16" t="s">
        <v>28</v>
      </c>
      <c r="C153" s="17" t="s">
        <v>688</v>
      </c>
      <c r="D153" s="24" t="s">
        <v>30</v>
      </c>
      <c r="E153" s="18" t="s">
        <v>689</v>
      </c>
      <c r="F153" s="18">
        <v>4538006244</v>
      </c>
      <c r="G153" s="18" t="s">
        <v>690</v>
      </c>
      <c r="H153" s="20">
        <v>4</v>
      </c>
      <c r="I153" s="21" t="s">
        <v>40</v>
      </c>
      <c r="J153" s="180">
        <v>1</v>
      </c>
      <c r="K153" s="22">
        <v>6</v>
      </c>
      <c r="L153" s="22">
        <v>6</v>
      </c>
      <c r="M153" s="22">
        <v>0.01</v>
      </c>
      <c r="N153" s="23" t="s">
        <v>873</v>
      </c>
    </row>
    <row r="154" spans="1:14" customFormat="1" ht="25.15" customHeight="1">
      <c r="A154" s="15">
        <v>143</v>
      </c>
      <c r="B154" s="16" t="s">
        <v>28</v>
      </c>
      <c r="C154" s="17" t="s">
        <v>207</v>
      </c>
      <c r="D154" s="24" t="s">
        <v>30</v>
      </c>
      <c r="E154" s="18" t="s">
        <v>692</v>
      </c>
      <c r="F154" s="18">
        <v>4535027036</v>
      </c>
      <c r="G154" s="18" t="s">
        <v>693</v>
      </c>
      <c r="H154" s="20">
        <v>2</v>
      </c>
      <c r="I154" s="21" t="s">
        <v>40</v>
      </c>
      <c r="J154" s="181"/>
      <c r="K154" s="22">
        <v>1</v>
      </c>
      <c r="L154" s="22">
        <v>1</v>
      </c>
      <c r="M154" s="22">
        <v>0.01</v>
      </c>
      <c r="N154" s="23" t="s">
        <v>873</v>
      </c>
    </row>
    <row r="155" spans="1:14" customFormat="1" ht="25.15" customHeight="1">
      <c r="A155" s="15">
        <v>144</v>
      </c>
      <c r="B155" s="16" t="s">
        <v>28</v>
      </c>
      <c r="C155" s="17" t="s">
        <v>207</v>
      </c>
      <c r="D155" s="24" t="s">
        <v>30</v>
      </c>
      <c r="E155" s="18" t="s">
        <v>695</v>
      </c>
      <c r="F155" s="18">
        <v>4535027035</v>
      </c>
      <c r="G155" s="18" t="s">
        <v>696</v>
      </c>
      <c r="H155" s="20">
        <v>2</v>
      </c>
      <c r="I155" s="21" t="s">
        <v>40</v>
      </c>
      <c r="J155" s="182"/>
      <c r="K155" s="22">
        <v>1</v>
      </c>
      <c r="L155" s="22">
        <v>1</v>
      </c>
      <c r="M155" s="22">
        <v>0.01</v>
      </c>
      <c r="N155" s="23" t="s">
        <v>873</v>
      </c>
    </row>
    <row r="156" spans="1:14" customFormat="1" ht="25.15" customHeight="1">
      <c r="A156" s="15">
        <v>145</v>
      </c>
      <c r="B156" s="16" t="s">
        <v>28</v>
      </c>
      <c r="C156" s="17" t="s">
        <v>207</v>
      </c>
      <c r="D156" s="24" t="s">
        <v>30</v>
      </c>
      <c r="E156" s="18" t="s">
        <v>698</v>
      </c>
      <c r="F156" s="18">
        <v>4535027034</v>
      </c>
      <c r="G156" s="18" t="s">
        <v>699</v>
      </c>
      <c r="H156" s="20">
        <v>2</v>
      </c>
      <c r="I156" s="21" t="s">
        <v>40</v>
      </c>
      <c r="J156" s="20">
        <v>1</v>
      </c>
      <c r="K156" s="22">
        <v>2</v>
      </c>
      <c r="L156" s="22">
        <v>2</v>
      </c>
      <c r="M156" s="22">
        <v>0.01</v>
      </c>
      <c r="N156" s="23" t="s">
        <v>872</v>
      </c>
    </row>
    <row r="157" spans="1:14" customFormat="1" ht="25.15" customHeight="1">
      <c r="A157" s="15">
        <v>146</v>
      </c>
      <c r="B157" s="16" t="s">
        <v>28</v>
      </c>
      <c r="C157" s="17" t="s">
        <v>701</v>
      </c>
      <c r="D157" s="24" t="s">
        <v>30</v>
      </c>
      <c r="E157" s="18" t="s">
        <v>702</v>
      </c>
      <c r="F157" s="18">
        <v>4513010116</v>
      </c>
      <c r="G157" s="18" t="s">
        <v>703</v>
      </c>
      <c r="H157" s="20">
        <v>3</v>
      </c>
      <c r="I157" s="21" t="s">
        <v>40</v>
      </c>
      <c r="J157" s="20">
        <v>1</v>
      </c>
      <c r="K157" s="22">
        <v>2</v>
      </c>
      <c r="L157" s="22">
        <v>2</v>
      </c>
      <c r="M157" s="22">
        <v>0.01</v>
      </c>
      <c r="N157" s="23" t="s">
        <v>872</v>
      </c>
    </row>
    <row r="158" spans="1:14" customFormat="1" ht="25.15" customHeight="1">
      <c r="A158" s="15">
        <v>147</v>
      </c>
      <c r="B158" s="16" t="s">
        <v>28</v>
      </c>
      <c r="C158" s="17" t="s">
        <v>705</v>
      </c>
      <c r="D158" s="24" t="s">
        <v>43</v>
      </c>
      <c r="E158" s="18" t="s">
        <v>706</v>
      </c>
      <c r="F158" s="18">
        <v>4513010115</v>
      </c>
      <c r="G158" s="18" t="s">
        <v>707</v>
      </c>
      <c r="H158" s="20">
        <v>3</v>
      </c>
      <c r="I158" s="21" t="s">
        <v>40</v>
      </c>
      <c r="J158" s="20">
        <v>1</v>
      </c>
      <c r="K158" s="22">
        <v>0.5</v>
      </c>
      <c r="L158" s="22">
        <v>0.5</v>
      </c>
      <c r="M158" s="22">
        <v>0.01</v>
      </c>
      <c r="N158" s="23" t="s">
        <v>872</v>
      </c>
    </row>
    <row r="159" spans="1:14" customFormat="1" ht="25.15" customHeight="1">
      <c r="A159" s="15">
        <v>148</v>
      </c>
      <c r="B159" s="16" t="s">
        <v>28</v>
      </c>
      <c r="C159" s="17" t="s">
        <v>709</v>
      </c>
      <c r="D159" s="24" t="s">
        <v>43</v>
      </c>
      <c r="E159" s="18" t="s">
        <v>710</v>
      </c>
      <c r="F159" s="18">
        <v>4513009147</v>
      </c>
      <c r="G159" s="18" t="s">
        <v>711</v>
      </c>
      <c r="H159" s="20">
        <v>3</v>
      </c>
      <c r="I159" s="21" t="s">
        <v>40</v>
      </c>
      <c r="J159" s="20">
        <v>1</v>
      </c>
      <c r="K159" s="22">
        <v>0.1</v>
      </c>
      <c r="L159" s="22">
        <v>0.2</v>
      </c>
      <c r="M159" s="22">
        <v>0.01</v>
      </c>
      <c r="N159" s="23" t="s">
        <v>873</v>
      </c>
    </row>
    <row r="160" spans="1:14" customFormat="1" ht="25.15" customHeight="1">
      <c r="A160" s="15">
        <v>149</v>
      </c>
      <c r="B160" s="16" t="s">
        <v>28</v>
      </c>
      <c r="C160" s="17" t="s">
        <v>713</v>
      </c>
      <c r="D160" s="24" t="s">
        <v>30</v>
      </c>
      <c r="E160" s="18" t="s">
        <v>714</v>
      </c>
      <c r="F160" s="18">
        <v>4513009138</v>
      </c>
      <c r="G160" s="18" t="s">
        <v>715</v>
      </c>
      <c r="H160" s="20">
        <v>3</v>
      </c>
      <c r="I160" s="21" t="s">
        <v>40</v>
      </c>
      <c r="J160" s="20">
        <v>1</v>
      </c>
      <c r="K160" s="22">
        <v>0.4</v>
      </c>
      <c r="L160" s="22">
        <v>0.5</v>
      </c>
      <c r="M160" s="22">
        <v>0.01</v>
      </c>
      <c r="N160" s="23" t="s">
        <v>873</v>
      </c>
    </row>
    <row r="161" spans="1:14" customFormat="1" ht="25.15" customHeight="1">
      <c r="A161" s="15">
        <v>150</v>
      </c>
      <c r="B161" s="16" t="s">
        <v>28</v>
      </c>
      <c r="C161" s="17" t="s">
        <v>713</v>
      </c>
      <c r="D161" s="24" t="s">
        <v>30</v>
      </c>
      <c r="E161" s="18" t="s">
        <v>714</v>
      </c>
      <c r="F161" s="18">
        <v>4513009137</v>
      </c>
      <c r="G161" s="18" t="s">
        <v>717</v>
      </c>
      <c r="H161" s="20">
        <v>3</v>
      </c>
      <c r="I161" s="21" t="s">
        <v>40</v>
      </c>
      <c r="J161" s="20">
        <v>1</v>
      </c>
      <c r="K161" s="22">
        <v>0.5</v>
      </c>
      <c r="L161" s="22">
        <v>0.5</v>
      </c>
      <c r="M161" s="22">
        <v>0.01</v>
      </c>
      <c r="N161" s="23" t="s">
        <v>872</v>
      </c>
    </row>
    <row r="162" spans="1:14" customFormat="1" ht="25.15" customHeight="1">
      <c r="A162" s="15">
        <v>151</v>
      </c>
      <c r="B162" s="16" t="s">
        <v>28</v>
      </c>
      <c r="C162" s="17" t="s">
        <v>719</v>
      </c>
      <c r="D162" s="24" t="s">
        <v>43</v>
      </c>
      <c r="E162" s="18" t="s">
        <v>720</v>
      </c>
      <c r="F162" s="18">
        <v>4513009133</v>
      </c>
      <c r="G162" s="18" t="s">
        <v>721</v>
      </c>
      <c r="H162" s="20">
        <v>3</v>
      </c>
      <c r="I162" s="21" t="s">
        <v>40</v>
      </c>
      <c r="J162" s="20">
        <v>1</v>
      </c>
      <c r="K162" s="22">
        <v>0.5</v>
      </c>
      <c r="L162" s="22">
        <v>0.5</v>
      </c>
      <c r="M162" s="22">
        <v>0.01</v>
      </c>
      <c r="N162" s="23" t="s">
        <v>884</v>
      </c>
    </row>
    <row r="163" spans="1:14" customFormat="1" ht="25.15" customHeight="1">
      <c r="A163" s="15">
        <v>152</v>
      </c>
      <c r="B163" s="16" t="s">
        <v>28</v>
      </c>
      <c r="C163" s="17" t="s">
        <v>723</v>
      </c>
      <c r="D163" s="24" t="s">
        <v>43</v>
      </c>
      <c r="E163" s="18" t="s">
        <v>724</v>
      </c>
      <c r="F163" s="18">
        <v>4513009132</v>
      </c>
      <c r="G163" s="18" t="s">
        <v>725</v>
      </c>
      <c r="H163" s="20">
        <v>3</v>
      </c>
      <c r="I163" s="21" t="s">
        <v>40</v>
      </c>
      <c r="J163" s="180">
        <v>1</v>
      </c>
      <c r="K163" s="22">
        <v>0.5</v>
      </c>
      <c r="L163" s="22">
        <v>0.5</v>
      </c>
      <c r="M163" s="22">
        <v>0.01</v>
      </c>
      <c r="N163" s="23" t="s">
        <v>872</v>
      </c>
    </row>
    <row r="164" spans="1:14" customFormat="1" ht="25.15" customHeight="1">
      <c r="A164" s="15">
        <v>153</v>
      </c>
      <c r="B164" s="16" t="s">
        <v>28</v>
      </c>
      <c r="C164" s="17" t="s">
        <v>727</v>
      </c>
      <c r="D164" s="24" t="s">
        <v>30</v>
      </c>
      <c r="E164" s="18" t="s">
        <v>728</v>
      </c>
      <c r="F164" s="18">
        <v>4513009131</v>
      </c>
      <c r="G164" s="18" t="s">
        <v>729</v>
      </c>
      <c r="H164" s="20">
        <v>3</v>
      </c>
      <c r="I164" s="21" t="s">
        <v>40</v>
      </c>
      <c r="J164" s="181"/>
      <c r="K164" s="22">
        <v>2</v>
      </c>
      <c r="L164" s="22">
        <v>2</v>
      </c>
      <c r="M164" s="22">
        <v>0.01</v>
      </c>
      <c r="N164" s="23" t="s">
        <v>872</v>
      </c>
    </row>
    <row r="165" spans="1:14" customFormat="1" ht="25.15" customHeight="1">
      <c r="A165" s="15">
        <v>154</v>
      </c>
      <c r="B165" s="16" t="s">
        <v>28</v>
      </c>
      <c r="C165" s="17" t="s">
        <v>731</v>
      </c>
      <c r="D165" s="24" t="s">
        <v>30</v>
      </c>
      <c r="E165" s="18" t="s">
        <v>732</v>
      </c>
      <c r="F165" s="18">
        <v>4513009130</v>
      </c>
      <c r="G165" s="18" t="s">
        <v>733</v>
      </c>
      <c r="H165" s="20">
        <v>3</v>
      </c>
      <c r="I165" s="21" t="s">
        <v>40</v>
      </c>
      <c r="J165" s="181"/>
      <c r="K165" s="22">
        <v>1</v>
      </c>
      <c r="L165" s="22">
        <v>1</v>
      </c>
      <c r="M165" s="22">
        <v>0.01</v>
      </c>
      <c r="N165" s="23" t="s">
        <v>872</v>
      </c>
    </row>
    <row r="166" spans="1:14" customFormat="1" ht="25.15" customHeight="1">
      <c r="A166" s="15">
        <v>155</v>
      </c>
      <c r="B166" s="16" t="s">
        <v>28</v>
      </c>
      <c r="C166" s="17" t="s">
        <v>735</v>
      </c>
      <c r="D166" s="24" t="s">
        <v>43</v>
      </c>
      <c r="E166" s="18" t="s">
        <v>736</v>
      </c>
      <c r="F166" s="18">
        <v>4513009128</v>
      </c>
      <c r="G166" s="18" t="s">
        <v>737</v>
      </c>
      <c r="H166" s="20">
        <v>3</v>
      </c>
      <c r="I166" s="21" t="s">
        <v>40</v>
      </c>
      <c r="J166" s="181"/>
      <c r="K166" s="22">
        <v>0.5</v>
      </c>
      <c r="L166" s="22">
        <v>0.5</v>
      </c>
      <c r="M166" s="22">
        <v>0.01</v>
      </c>
      <c r="N166" s="23" t="s">
        <v>872</v>
      </c>
    </row>
    <row r="167" spans="1:14" customFormat="1" ht="25.15" customHeight="1">
      <c r="A167" s="15">
        <v>156</v>
      </c>
      <c r="B167" s="16" t="s">
        <v>28</v>
      </c>
      <c r="C167" s="17" t="s">
        <v>739</v>
      </c>
      <c r="D167" s="24" t="s">
        <v>43</v>
      </c>
      <c r="E167" s="18" t="s">
        <v>740</v>
      </c>
      <c r="F167" s="18">
        <v>4513009126</v>
      </c>
      <c r="G167" s="18" t="s">
        <v>741</v>
      </c>
      <c r="H167" s="20">
        <v>3</v>
      </c>
      <c r="I167" s="21" t="s">
        <v>40</v>
      </c>
      <c r="J167" s="182"/>
      <c r="K167" s="22">
        <v>0.5</v>
      </c>
      <c r="L167" s="22">
        <v>0.5</v>
      </c>
      <c r="M167" s="22">
        <v>0.01</v>
      </c>
      <c r="N167" s="23" t="s">
        <v>872</v>
      </c>
    </row>
    <row r="168" spans="1:14" customFormat="1" ht="25.15" customHeight="1">
      <c r="A168" s="15">
        <v>157</v>
      </c>
      <c r="B168" s="16" t="s">
        <v>28</v>
      </c>
      <c r="C168" s="17" t="s">
        <v>743</v>
      </c>
      <c r="D168" s="24" t="s">
        <v>43</v>
      </c>
      <c r="E168" s="18" t="s">
        <v>744</v>
      </c>
      <c r="F168" s="18">
        <v>4513009125</v>
      </c>
      <c r="G168" s="18" t="s">
        <v>745</v>
      </c>
      <c r="H168" s="20">
        <v>3</v>
      </c>
      <c r="I168" s="21" t="s">
        <v>40</v>
      </c>
      <c r="J168" s="180">
        <v>1</v>
      </c>
      <c r="K168" s="22">
        <v>1</v>
      </c>
      <c r="L168" s="22">
        <v>1</v>
      </c>
      <c r="M168" s="22">
        <v>0.01</v>
      </c>
      <c r="N168" s="23" t="s">
        <v>873</v>
      </c>
    </row>
    <row r="169" spans="1:14" customFormat="1" ht="25.15" customHeight="1">
      <c r="A169" s="15">
        <v>158</v>
      </c>
      <c r="B169" s="16" t="s">
        <v>28</v>
      </c>
      <c r="C169" s="17" t="s">
        <v>747</v>
      </c>
      <c r="D169" s="24" t="s">
        <v>30</v>
      </c>
      <c r="E169" s="18" t="s">
        <v>748</v>
      </c>
      <c r="F169" s="18">
        <v>4513009121</v>
      </c>
      <c r="G169" s="18" t="s">
        <v>749</v>
      </c>
      <c r="H169" s="20">
        <v>3</v>
      </c>
      <c r="I169" s="21" t="s">
        <v>40</v>
      </c>
      <c r="J169" s="181"/>
      <c r="K169" s="22">
        <v>1</v>
      </c>
      <c r="L169" s="22">
        <v>1</v>
      </c>
      <c r="M169" s="22">
        <v>0.01</v>
      </c>
      <c r="N169" s="23" t="s">
        <v>873</v>
      </c>
    </row>
    <row r="170" spans="1:14" customFormat="1" ht="25.15" customHeight="1">
      <c r="A170" s="15">
        <v>159</v>
      </c>
      <c r="B170" s="16" t="s">
        <v>28</v>
      </c>
      <c r="C170" s="17" t="s">
        <v>751</v>
      </c>
      <c r="D170" s="24" t="s">
        <v>43</v>
      </c>
      <c r="E170" s="18" t="s">
        <v>752</v>
      </c>
      <c r="F170" s="18" t="s">
        <v>753</v>
      </c>
      <c r="G170" s="18" t="s">
        <v>754</v>
      </c>
      <c r="H170" s="20">
        <v>3</v>
      </c>
      <c r="I170" s="21" t="s">
        <v>40</v>
      </c>
      <c r="J170" s="181"/>
      <c r="K170" s="22">
        <v>3</v>
      </c>
      <c r="L170" s="22">
        <v>3</v>
      </c>
      <c r="M170" s="22">
        <v>0.01</v>
      </c>
      <c r="N170" s="23" t="s">
        <v>873</v>
      </c>
    </row>
    <row r="171" spans="1:14" customFormat="1" ht="25.15" customHeight="1">
      <c r="A171" s="15">
        <v>160</v>
      </c>
      <c r="B171" s="16" t="s">
        <v>28</v>
      </c>
      <c r="C171" s="17" t="s">
        <v>756</v>
      </c>
      <c r="D171" s="24" t="s">
        <v>30</v>
      </c>
      <c r="E171" s="18" t="s">
        <v>757</v>
      </c>
      <c r="F171" s="18" t="s">
        <v>758</v>
      </c>
      <c r="G171" s="18" t="s">
        <v>759</v>
      </c>
      <c r="H171" s="20">
        <v>3</v>
      </c>
      <c r="I171" s="21" t="s">
        <v>40</v>
      </c>
      <c r="J171" s="182"/>
      <c r="K171" s="22">
        <v>0.2</v>
      </c>
      <c r="L171" s="22">
        <v>0.3</v>
      </c>
      <c r="M171" s="22">
        <v>0.01</v>
      </c>
      <c r="N171" s="23" t="s">
        <v>873</v>
      </c>
    </row>
    <row r="172" spans="1:14" customFormat="1" ht="25.15" customHeight="1">
      <c r="A172" s="15">
        <v>161</v>
      </c>
      <c r="B172" s="16" t="s">
        <v>28</v>
      </c>
      <c r="C172" s="17" t="s">
        <v>761</v>
      </c>
      <c r="D172" s="24" t="s">
        <v>30</v>
      </c>
      <c r="E172" s="18" t="s">
        <v>762</v>
      </c>
      <c r="F172" s="18" t="s">
        <v>763</v>
      </c>
      <c r="G172" s="18" t="s">
        <v>764</v>
      </c>
      <c r="H172" s="20">
        <v>3</v>
      </c>
      <c r="I172" s="21" t="s">
        <v>40</v>
      </c>
      <c r="J172" s="180">
        <v>1</v>
      </c>
      <c r="K172" s="22">
        <v>1</v>
      </c>
      <c r="L172" s="22">
        <v>1</v>
      </c>
      <c r="M172" s="22">
        <v>0.01</v>
      </c>
      <c r="N172" s="23" t="s">
        <v>872</v>
      </c>
    </row>
    <row r="173" spans="1:14" customFormat="1" ht="25.15" customHeight="1">
      <c r="A173" s="15">
        <v>162</v>
      </c>
      <c r="B173" s="16" t="s">
        <v>28</v>
      </c>
      <c r="C173" s="17" t="s">
        <v>493</v>
      </c>
      <c r="D173" s="24" t="s">
        <v>30</v>
      </c>
      <c r="E173" s="18" t="s">
        <v>766</v>
      </c>
      <c r="F173" s="18" t="s">
        <v>767</v>
      </c>
      <c r="G173" s="18" t="s">
        <v>768</v>
      </c>
      <c r="H173" s="20">
        <v>3</v>
      </c>
      <c r="I173" s="21" t="s">
        <v>40</v>
      </c>
      <c r="J173" s="181"/>
      <c r="K173" s="22">
        <v>1</v>
      </c>
      <c r="L173" s="22">
        <v>1</v>
      </c>
      <c r="M173" s="22">
        <v>0.01</v>
      </c>
      <c r="N173" s="23" t="s">
        <v>872</v>
      </c>
    </row>
    <row r="174" spans="1:14" customFormat="1" ht="25.15" customHeight="1">
      <c r="A174" s="15">
        <v>163</v>
      </c>
      <c r="B174" s="16" t="s">
        <v>28</v>
      </c>
      <c r="C174" s="17" t="s">
        <v>770</v>
      </c>
      <c r="D174" s="24" t="s">
        <v>30</v>
      </c>
      <c r="E174" s="18" t="s">
        <v>771</v>
      </c>
      <c r="F174" s="18" t="s">
        <v>772</v>
      </c>
      <c r="G174" s="18" t="s">
        <v>773</v>
      </c>
      <c r="H174" s="20">
        <v>3</v>
      </c>
      <c r="I174" s="21" t="s">
        <v>40</v>
      </c>
      <c r="J174" s="181"/>
      <c r="K174" s="22">
        <v>1</v>
      </c>
      <c r="L174" s="22">
        <v>1</v>
      </c>
      <c r="M174" s="22">
        <v>0.01</v>
      </c>
      <c r="N174" s="23" t="s">
        <v>872</v>
      </c>
    </row>
    <row r="175" spans="1:14" customFormat="1" ht="25.15" customHeight="1">
      <c r="A175" s="15">
        <v>164</v>
      </c>
      <c r="B175" s="16" t="s">
        <v>28</v>
      </c>
      <c r="C175" s="17" t="s">
        <v>775</v>
      </c>
      <c r="D175" s="24" t="s">
        <v>30</v>
      </c>
      <c r="E175" s="18" t="s">
        <v>776</v>
      </c>
      <c r="F175" s="18" t="s">
        <v>777</v>
      </c>
      <c r="G175" s="18" t="s">
        <v>778</v>
      </c>
      <c r="H175" s="20">
        <v>3</v>
      </c>
      <c r="I175" s="21" t="s">
        <v>40</v>
      </c>
      <c r="J175" s="181"/>
      <c r="K175" s="22">
        <v>1</v>
      </c>
      <c r="L175" s="22">
        <v>1</v>
      </c>
      <c r="M175" s="22">
        <v>0.01</v>
      </c>
      <c r="N175" s="23" t="s">
        <v>872</v>
      </c>
    </row>
    <row r="176" spans="1:14" customFormat="1" ht="25.15" customHeight="1">
      <c r="A176" s="15">
        <v>165</v>
      </c>
      <c r="B176" s="16" t="s">
        <v>28</v>
      </c>
      <c r="C176" s="17" t="s">
        <v>90</v>
      </c>
      <c r="D176" s="24" t="s">
        <v>30</v>
      </c>
      <c r="E176" s="18" t="s">
        <v>780</v>
      </c>
      <c r="F176" s="18" t="s">
        <v>781</v>
      </c>
      <c r="G176" s="18" t="s">
        <v>782</v>
      </c>
      <c r="H176" s="20">
        <v>3</v>
      </c>
      <c r="I176" s="21" t="s">
        <v>40</v>
      </c>
      <c r="J176" s="181"/>
      <c r="K176" s="22">
        <v>0.1</v>
      </c>
      <c r="L176" s="22">
        <v>0.2</v>
      </c>
      <c r="M176" s="22">
        <v>0.01</v>
      </c>
      <c r="N176" s="23" t="s">
        <v>872</v>
      </c>
    </row>
    <row r="177" spans="1:14" customFormat="1" ht="25.15" customHeight="1">
      <c r="A177" s="15">
        <v>166</v>
      </c>
      <c r="B177" s="16" t="s">
        <v>28</v>
      </c>
      <c r="C177" s="17" t="s">
        <v>784</v>
      </c>
      <c r="D177" s="24" t="s">
        <v>30</v>
      </c>
      <c r="E177" s="18" t="s">
        <v>785</v>
      </c>
      <c r="F177" s="18" t="s">
        <v>786</v>
      </c>
      <c r="G177" s="18" t="s">
        <v>787</v>
      </c>
      <c r="H177" s="20">
        <v>5</v>
      </c>
      <c r="I177" s="21" t="s">
        <v>40</v>
      </c>
      <c r="J177" s="181"/>
      <c r="K177" s="22">
        <v>0.1</v>
      </c>
      <c r="L177" s="22">
        <v>0.2</v>
      </c>
      <c r="M177" s="22">
        <v>0.01</v>
      </c>
      <c r="N177" s="23" t="s">
        <v>872</v>
      </c>
    </row>
    <row r="178" spans="1:14" customFormat="1" ht="25.15" customHeight="1">
      <c r="A178" s="15">
        <v>167</v>
      </c>
      <c r="B178" s="16" t="s">
        <v>28</v>
      </c>
      <c r="C178" s="17" t="s">
        <v>789</v>
      </c>
      <c r="D178" s="24" t="s">
        <v>30</v>
      </c>
      <c r="E178" s="18" t="s">
        <v>790</v>
      </c>
      <c r="F178" s="18" t="s">
        <v>791</v>
      </c>
      <c r="G178" s="18" t="s">
        <v>792</v>
      </c>
      <c r="H178" s="20">
        <v>5</v>
      </c>
      <c r="I178" s="21" t="s">
        <v>40</v>
      </c>
      <c r="J178" s="181"/>
      <c r="K178" s="22">
        <v>0.1</v>
      </c>
      <c r="L178" s="22">
        <v>0.2</v>
      </c>
      <c r="M178" s="22">
        <v>0.01</v>
      </c>
      <c r="N178" s="23" t="s">
        <v>872</v>
      </c>
    </row>
    <row r="179" spans="1:14" customFormat="1" ht="25.15" customHeight="1">
      <c r="A179" s="15">
        <v>168</v>
      </c>
      <c r="B179" s="16" t="s">
        <v>28</v>
      </c>
      <c r="C179" s="17" t="s">
        <v>794</v>
      </c>
      <c r="D179" s="24" t="s">
        <v>30</v>
      </c>
      <c r="E179" s="18" t="s">
        <v>795</v>
      </c>
      <c r="F179" s="18" t="s">
        <v>796</v>
      </c>
      <c r="G179" s="18" t="s">
        <v>797</v>
      </c>
      <c r="H179" s="20">
        <v>5</v>
      </c>
      <c r="I179" s="21" t="s">
        <v>40</v>
      </c>
      <c r="J179" s="181"/>
      <c r="K179" s="22">
        <v>0.1</v>
      </c>
      <c r="L179" s="22">
        <v>0.2</v>
      </c>
      <c r="M179" s="22">
        <v>0.01</v>
      </c>
      <c r="N179" s="23" t="s">
        <v>872</v>
      </c>
    </row>
    <row r="180" spans="1:14" customFormat="1" ht="25.15" customHeight="1">
      <c r="A180" s="15">
        <v>169</v>
      </c>
      <c r="B180" s="16" t="s">
        <v>28</v>
      </c>
      <c r="C180" s="17" t="s">
        <v>799</v>
      </c>
      <c r="D180" s="24" t="s">
        <v>30</v>
      </c>
      <c r="E180" s="18" t="s">
        <v>800</v>
      </c>
      <c r="F180" s="18" t="s">
        <v>801</v>
      </c>
      <c r="G180" s="18" t="s">
        <v>802</v>
      </c>
      <c r="H180" s="20">
        <v>5</v>
      </c>
      <c r="I180" s="21" t="s">
        <v>40</v>
      </c>
      <c r="J180" s="181"/>
      <c r="K180" s="22">
        <v>0.1</v>
      </c>
      <c r="L180" s="22">
        <v>0.2</v>
      </c>
      <c r="M180" s="22">
        <v>0.01</v>
      </c>
      <c r="N180" s="23" t="s">
        <v>872</v>
      </c>
    </row>
    <row r="181" spans="1:14" customFormat="1" ht="25.15" customHeight="1">
      <c r="A181" s="15">
        <v>170</v>
      </c>
      <c r="B181" s="16" t="s">
        <v>28</v>
      </c>
      <c r="C181" s="17" t="s">
        <v>804</v>
      </c>
      <c r="D181" s="24" t="s">
        <v>30</v>
      </c>
      <c r="E181" s="18" t="s">
        <v>805</v>
      </c>
      <c r="F181" s="18" t="s">
        <v>806</v>
      </c>
      <c r="G181" s="18" t="s">
        <v>807</v>
      </c>
      <c r="H181" s="20">
        <v>1</v>
      </c>
      <c r="I181" s="21" t="s">
        <v>34</v>
      </c>
      <c r="J181" s="181"/>
      <c r="K181" s="22">
        <v>1</v>
      </c>
      <c r="L181" s="22">
        <v>1</v>
      </c>
      <c r="M181" s="22">
        <v>0.01</v>
      </c>
      <c r="N181" s="23" t="s">
        <v>872</v>
      </c>
    </row>
    <row r="182" spans="1:14" customFormat="1" ht="25.15" customHeight="1">
      <c r="A182" s="15">
        <v>171</v>
      </c>
      <c r="B182" s="16" t="s">
        <v>28</v>
      </c>
      <c r="C182" s="17" t="s">
        <v>809</v>
      </c>
      <c r="D182" s="24" t="s">
        <v>30</v>
      </c>
      <c r="E182" s="18" t="s">
        <v>810</v>
      </c>
      <c r="F182" s="18" t="s">
        <v>811</v>
      </c>
      <c r="G182" s="18" t="s">
        <v>812</v>
      </c>
      <c r="H182" s="20">
        <v>3</v>
      </c>
      <c r="I182" s="21" t="s">
        <v>40</v>
      </c>
      <c r="J182" s="181"/>
      <c r="K182" s="22">
        <v>70</v>
      </c>
      <c r="L182" s="22">
        <v>70</v>
      </c>
      <c r="M182" s="22">
        <v>0.05</v>
      </c>
      <c r="N182" s="23" t="s">
        <v>872</v>
      </c>
    </row>
    <row r="183" spans="1:14" customFormat="1" ht="25.15" customHeight="1">
      <c r="A183" s="15">
        <v>172</v>
      </c>
      <c r="B183" s="16" t="s">
        <v>28</v>
      </c>
      <c r="C183" s="17" t="s">
        <v>814</v>
      </c>
      <c r="D183" s="24" t="s">
        <v>30</v>
      </c>
      <c r="E183" s="18" t="s">
        <v>815</v>
      </c>
      <c r="F183" s="18" t="s">
        <v>816</v>
      </c>
      <c r="G183" s="18" t="s">
        <v>817</v>
      </c>
      <c r="H183" s="20">
        <v>5</v>
      </c>
      <c r="I183" s="21" t="s">
        <v>40</v>
      </c>
      <c r="J183" s="181"/>
      <c r="K183" s="22">
        <v>9</v>
      </c>
      <c r="L183" s="22">
        <v>9</v>
      </c>
      <c r="M183" s="22">
        <v>0.01</v>
      </c>
      <c r="N183" s="23" t="s">
        <v>872</v>
      </c>
    </row>
    <row r="184" spans="1:14" customFormat="1" ht="25.15" customHeight="1">
      <c r="A184" s="15">
        <v>173</v>
      </c>
      <c r="B184" s="16" t="s">
        <v>28</v>
      </c>
      <c r="C184" s="17" t="s">
        <v>819</v>
      </c>
      <c r="D184" s="24" t="s">
        <v>30</v>
      </c>
      <c r="E184" s="18" t="s">
        <v>820</v>
      </c>
      <c r="F184" s="18" t="s">
        <v>821</v>
      </c>
      <c r="G184" s="18" t="s">
        <v>822</v>
      </c>
      <c r="H184" s="20">
        <v>5</v>
      </c>
      <c r="I184" s="21" t="s">
        <v>40</v>
      </c>
      <c r="J184" s="181"/>
      <c r="K184" s="22">
        <v>0.1</v>
      </c>
      <c r="L184" s="22">
        <v>0.2</v>
      </c>
      <c r="M184" s="22">
        <v>0.01</v>
      </c>
      <c r="N184" s="23" t="s">
        <v>872</v>
      </c>
    </row>
    <row r="185" spans="1:14" customFormat="1" ht="25.15" customHeight="1">
      <c r="A185" s="15">
        <v>174</v>
      </c>
      <c r="B185" s="16" t="s">
        <v>28</v>
      </c>
      <c r="C185" s="17" t="s">
        <v>824</v>
      </c>
      <c r="D185" s="24" t="s">
        <v>30</v>
      </c>
      <c r="E185" s="18" t="s">
        <v>825</v>
      </c>
      <c r="F185" s="18" t="s">
        <v>826</v>
      </c>
      <c r="G185" s="18" t="s">
        <v>827</v>
      </c>
      <c r="H185" s="20">
        <v>2</v>
      </c>
      <c r="I185" s="21" t="s">
        <v>40</v>
      </c>
      <c r="J185" s="181"/>
      <c r="K185" s="22">
        <v>3</v>
      </c>
      <c r="L185" s="22">
        <v>3</v>
      </c>
      <c r="M185" s="22">
        <v>0.01</v>
      </c>
      <c r="N185" s="23" t="s">
        <v>872</v>
      </c>
    </row>
    <row r="186" spans="1:14" customFormat="1" ht="25.15" customHeight="1">
      <c r="A186" s="15">
        <v>175</v>
      </c>
      <c r="B186" s="16" t="s">
        <v>28</v>
      </c>
      <c r="C186" s="17" t="s">
        <v>829</v>
      </c>
      <c r="D186" s="24" t="s">
        <v>30</v>
      </c>
      <c r="E186" s="18" t="s">
        <v>830</v>
      </c>
      <c r="F186" s="18" t="s">
        <v>831</v>
      </c>
      <c r="G186" s="18" t="s">
        <v>832</v>
      </c>
      <c r="H186" s="20">
        <v>2</v>
      </c>
      <c r="I186" s="21" t="s">
        <v>40</v>
      </c>
      <c r="J186" s="181"/>
      <c r="K186" s="22">
        <v>3</v>
      </c>
      <c r="L186" s="22">
        <v>3</v>
      </c>
      <c r="M186" s="22">
        <v>0.01</v>
      </c>
      <c r="N186" s="23" t="s">
        <v>872</v>
      </c>
    </row>
    <row r="187" spans="1:14" customFormat="1" ht="25.15" customHeight="1">
      <c r="A187" s="15">
        <v>176</v>
      </c>
      <c r="B187" s="16" t="s">
        <v>28</v>
      </c>
      <c r="C187" s="17" t="s">
        <v>819</v>
      </c>
      <c r="D187" s="24" t="s">
        <v>30</v>
      </c>
      <c r="E187" s="18" t="s">
        <v>834</v>
      </c>
      <c r="F187" s="18" t="s">
        <v>835</v>
      </c>
      <c r="G187" s="18" t="s">
        <v>836</v>
      </c>
      <c r="H187" s="20">
        <v>5</v>
      </c>
      <c r="I187" s="21" t="s">
        <v>40</v>
      </c>
      <c r="J187" s="181"/>
      <c r="K187" s="22">
        <v>1</v>
      </c>
      <c r="L187" s="22">
        <v>1</v>
      </c>
      <c r="M187" s="22">
        <v>0.01</v>
      </c>
      <c r="N187" s="23" t="s">
        <v>872</v>
      </c>
    </row>
    <row r="188" spans="1:14" customFormat="1" ht="25.15" customHeight="1">
      <c r="A188" s="15">
        <v>177</v>
      </c>
      <c r="B188" s="16" t="s">
        <v>28</v>
      </c>
      <c r="C188" s="17" t="s">
        <v>838</v>
      </c>
      <c r="D188" s="24" t="s">
        <v>30</v>
      </c>
      <c r="E188" s="18" t="s">
        <v>839</v>
      </c>
      <c r="F188" s="18" t="s">
        <v>840</v>
      </c>
      <c r="G188" s="18" t="s">
        <v>841</v>
      </c>
      <c r="H188" s="20">
        <v>2</v>
      </c>
      <c r="I188" s="21" t="s">
        <v>40</v>
      </c>
      <c r="J188" s="181"/>
      <c r="K188" s="22">
        <v>1</v>
      </c>
      <c r="L188" s="22">
        <v>1</v>
      </c>
      <c r="M188" s="22">
        <v>0.01</v>
      </c>
      <c r="N188" s="23" t="s">
        <v>872</v>
      </c>
    </row>
    <row r="189" spans="1:14" customFormat="1" ht="25.15" customHeight="1">
      <c r="A189" s="15">
        <v>178</v>
      </c>
      <c r="B189" s="16" t="s">
        <v>28</v>
      </c>
      <c r="C189" s="17" t="s">
        <v>843</v>
      </c>
      <c r="D189" s="24" t="s">
        <v>30</v>
      </c>
      <c r="E189" s="18" t="s">
        <v>844</v>
      </c>
      <c r="F189" s="18" t="s">
        <v>845</v>
      </c>
      <c r="G189" s="18" t="s">
        <v>846</v>
      </c>
      <c r="H189" s="20">
        <v>2</v>
      </c>
      <c r="I189" s="21" t="s">
        <v>40</v>
      </c>
      <c r="J189" s="182"/>
      <c r="K189" s="22">
        <v>1</v>
      </c>
      <c r="L189" s="22">
        <v>1</v>
      </c>
      <c r="M189" s="22">
        <v>0.01</v>
      </c>
      <c r="N189" s="23" t="s">
        <v>872</v>
      </c>
    </row>
    <row r="190" spans="1:14" customFormat="1" ht="25.15" customHeight="1">
      <c r="A190" s="15">
        <v>179</v>
      </c>
      <c r="B190" s="16" t="s">
        <v>848</v>
      </c>
      <c r="C190" s="17" t="s">
        <v>849</v>
      </c>
      <c r="D190" s="24" t="s">
        <v>30</v>
      </c>
      <c r="E190" s="18" t="s">
        <v>850</v>
      </c>
      <c r="F190" s="18" t="s">
        <v>851</v>
      </c>
      <c r="G190" s="18" t="s">
        <v>852</v>
      </c>
      <c r="H190" s="20">
        <v>2</v>
      </c>
      <c r="I190" s="21" t="s">
        <v>40</v>
      </c>
      <c r="J190" s="20">
        <v>1</v>
      </c>
      <c r="K190" s="22">
        <v>7</v>
      </c>
      <c r="L190" s="22">
        <v>7</v>
      </c>
      <c r="M190" s="22">
        <v>0.1</v>
      </c>
      <c r="N190" s="23" t="s">
        <v>885</v>
      </c>
    </row>
    <row r="191" spans="1:14" customFormat="1" ht="21" customHeight="1">
      <c r="A191" s="25"/>
      <c r="B191" s="26"/>
      <c r="C191" s="26"/>
      <c r="D191" s="25"/>
      <c r="E191" s="26"/>
      <c r="F191" s="173" t="s">
        <v>854</v>
      </c>
      <c r="G191" s="173"/>
      <c r="H191" s="27">
        <f>SUM(H12:H190)</f>
        <v>819</v>
      </c>
      <c r="I191" s="25"/>
      <c r="J191" s="28">
        <f>SUM(J12:J190)</f>
        <v>111</v>
      </c>
      <c r="K191" s="29"/>
      <c r="L191" s="29">
        <f>SUM(L12:L190)</f>
        <v>1400</v>
      </c>
      <c r="M191" s="29">
        <f>SUM(M12:M190)</f>
        <v>5.9999999999999796</v>
      </c>
      <c r="N191" s="29"/>
    </row>
    <row r="192" spans="1:14" ht="21" customHeight="1">
      <c r="A192" s="174" t="s">
        <v>886</v>
      </c>
      <c r="B192" s="175"/>
      <c r="C192" s="175"/>
      <c r="D192" s="175"/>
      <c r="E192" s="175"/>
      <c r="F192" s="175"/>
      <c r="G192" s="175"/>
      <c r="H192" s="175"/>
      <c r="I192" s="175"/>
      <c r="J192" s="176"/>
      <c r="K192" s="177"/>
      <c r="L192" s="177"/>
      <c r="M192" s="177"/>
      <c r="N192" s="177"/>
    </row>
    <row r="193" spans="12:14" ht="21" customHeight="1">
      <c r="L193" s="30"/>
      <c r="M193" s="30"/>
      <c r="N193" s="31"/>
    </row>
  </sheetData>
  <mergeCells count="31">
    <mergeCell ref="J163:J167"/>
    <mergeCell ref="J168:J171"/>
    <mergeCell ref="J172:J189"/>
    <mergeCell ref="H7:J8"/>
    <mergeCell ref="K1:N6"/>
    <mergeCell ref="C9:G9"/>
    <mergeCell ref="A11:N11"/>
    <mergeCell ref="F191:G191"/>
    <mergeCell ref="A192:N192"/>
    <mergeCell ref="H9:H10"/>
    <mergeCell ref="I9:I10"/>
    <mergeCell ref="J9:J10"/>
    <mergeCell ref="J12:J16"/>
    <mergeCell ref="J18:J24"/>
    <mergeCell ref="J27:J37"/>
    <mergeCell ref="J44:J49"/>
    <mergeCell ref="J51:J57"/>
    <mergeCell ref="J59:J63"/>
    <mergeCell ref="J65:J71"/>
    <mergeCell ref="J150:J151"/>
    <mergeCell ref="J153:J155"/>
    <mergeCell ref="A6:J6"/>
    <mergeCell ref="A7:F7"/>
    <mergeCell ref="K7:N7"/>
    <mergeCell ref="A8:G8"/>
    <mergeCell ref="K8:N8"/>
    <mergeCell ref="A1:J1"/>
    <mergeCell ref="A2:J2"/>
    <mergeCell ref="A3:J3"/>
    <mergeCell ref="A4:J4"/>
    <mergeCell ref="A5:J5"/>
  </mergeCells>
  <pageMargins left="0.196527777777778" right="0" top="0.196527777777778" bottom="0.23611111111111099" header="0.29861111111111099" footer="0.29861111111111099"/>
  <pageSetup paperSize="9" scale="7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INVOICE FOR USD</vt:lpstr>
      <vt:lpstr>INVOICE FOR CNY</vt:lpstr>
      <vt:lpstr>PACKING LIST</vt:lpstr>
      <vt:lpstr>'INVOICE FOR CNY'!Print_Area</vt:lpstr>
      <vt:lpstr>'PACKING LIST'!Print_Area</vt:lpstr>
      <vt:lpstr>'INVOICE FOR CNY'!Print_Titles</vt:lpstr>
      <vt:lpstr>'INVOICE FOR USD'!Print_Titles</vt:lpstr>
      <vt:lpstr>'PACKING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2024-04-22T18:05:00Z</cp:lastPrinted>
  <dcterms:created xsi:type="dcterms:W3CDTF">2024-04-22T16:01:00Z</dcterms:created>
  <dcterms:modified xsi:type="dcterms:W3CDTF">2026-07-02T10:50:45Z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CA3E1D2B534845BAAB9D66DC15D7BA0E_13</vt:lpwstr>
  </property>
  <property fmtid="{D5CDD505-2E9C-101B-9397-08002B2CF9AE}" pid="4" name="CalculationRule">
    <vt:i4>0</vt:i4>
  </property>
</Properties>
</file>